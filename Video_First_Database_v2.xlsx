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f2c5168e084ad8" /></Relationships>
</file>

<file path=xl/workbook.xml><?xml version="1.0" encoding="utf-8"?>
<x:workbook xmlns:x="http://schemas.openxmlformats.org/spreadsheetml/2006/main">
  <x:sheets>
    <x:sheet xmlns:r="http://schemas.openxmlformats.org/officeDocument/2006/relationships" name="Start here" sheetId="1" r:id="Ra1e7c8a3cfb04326"/>
    <x:sheet xmlns:r="http://schemas.openxmlformats.org/officeDocument/2006/relationships" name="Subject synthesis" sheetId="2" r:id="R43dbe00275374d8f"/>
    <x:sheet xmlns:r="http://schemas.openxmlformats.org/officeDocument/2006/relationships" name="Video contributions" sheetId="3" r:id="Ra3218f787b93491b"/>
    <x:sheet xmlns:r="http://schemas.openxmlformats.org/officeDocument/2006/relationships" name="Research questions" sheetId="4" r:id="R507324d6ffdd4201"/>
    <x:sheet xmlns:r="http://schemas.openxmlformats.org/officeDocument/2006/relationships" name="Video index" sheetId="5" r:id="Rbffa325dd5e44979"/>
    <x:sheet xmlns:r="http://schemas.openxmlformats.org/officeDocument/2006/relationships" name="Earlier evidence" sheetId="6" r:id="Re1261fa3caee43d7"/>
    <x:sheet xmlns:r="http://schemas.openxmlformats.org/officeDocument/2006/relationships" name="Source checks" sheetId="7" r:id="Ra7a66c5b154e4b0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7">
    <x:font>
      <x:sz val="11"/>
      <x:name val="Carlito"/>
    </x:font>
    <x:font>
      <x:b/>
      <x:sz val="16"/>
      <x:color rgb="FF213F60"/>
      <x:name val="Arial"/>
    </x:font>
    <x:font>
      <x:sz val="11"/>
      <x:color rgb="FF24344A"/>
      <x:name val="Arial"/>
    </x:font>
    <x:font>
      <x:b/>
      <x:sz val="11"/>
      <x:color rgb="FFFFFFFF"/>
      <x:name val="Arial"/>
    </x:font>
    <x:font>
      <x:sz val="10"/>
      <x:color rgb="FF24344A"/>
      <x:name val="Arial"/>
    </x:font>
    <x:font>
      <x:b/>
      <x:sz val="10"/>
      <x:color rgb="FFFFFFFF"/>
      <x:name val="Arial"/>
    </x:font>
    <x:font>
      <x:u val="single"/>
      <x:sz val="10"/>
      <x:color rgb="FF285D93"/>
      <x:name val="Arial"/>
    </x:font>
  </x:fonts>
  <x:fills count="4">
    <x:fill>
      <x:patternFill patternType="none"/>
    </x:fill>
    <x:fill>
      <x:patternFill patternType="gray125"/>
    </x:fill>
    <x:fill>
      <x:patternFill patternType="solid">
        <x:fgColor rgb="FF213F60"/>
      </x:patternFill>
    </x:fill>
    <x:fill>
      <x:patternFill patternType="solid">
        <x:fgColor rgb="FFFFF8E6"/>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2" borderId="0" xfId="0" applyNumberFormat="1" applyFont="1" applyFill="1" applyBorder="1" applyAlignment="1">
      <x:alignment vertical="top"/>
    </x:xf>
    <x:xf numFmtId="0" fontId="5" fillId="2" borderId="0" xfId="0" applyNumberFormat="1" applyFont="1" applyFill="1" applyBorder="1" applyAlignment="1">
      <x:alignment vertical="top"/>
    </x:xf>
    <x:xf numFmtId="0" fontId="5"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2"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6" fillId="0" borderId="0" xfId="0" applyNumberFormat="1" applyFont="1" applyFill="1" applyBorder="1" applyAlignment="1">
      <x:alignment vertical="top" wrapText="1"/>
    </x:xf>
  </x:cellXfs>
  <x:cellStyles count="1">
    <x:cellStyle name="Normal" xfId="0"/>
  </x:cellStyles>
  <x:dxfs count="2">
    <x:dxf>
      <x:fill>
        <x:patternFill patternType="solid">
          <x:bgColor rgb="FFFFF0CC"/>
        </x:patternFill>
      </x:fill>
    </x:dxf>
    <x:dxf>
      <x:fill>
        <x:patternFill patternType="solid">
          <x:bgColor rgb="FFFFE6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0241f68ee54160" /><Relationship Type="http://schemas.openxmlformats.org/officeDocument/2006/relationships/theme" Target="/xl/theme/theme1.xml" Id="R9092e91c98004bde" /><Relationship Type="http://schemas.openxmlformats.org/officeDocument/2006/relationships/sharedStrings" Target="/xl/sharedStrings.xml" Id="R8932e7e03e0d46bb" /><Relationship Type="http://schemas.openxmlformats.org/officeDocument/2006/relationships/worksheet" Target="/xl/worksheets/sheet1.xml" Id="Ra1e7c8a3cfb04326" /><Relationship Type="http://schemas.openxmlformats.org/officeDocument/2006/relationships/worksheet" Target="/xl/worksheets/sheet2.xml" Id="R43dbe00275374d8f" /><Relationship Type="http://schemas.openxmlformats.org/officeDocument/2006/relationships/worksheet" Target="/xl/worksheets/sheet3.xml" Id="Ra3218f787b93491b" /><Relationship Type="http://schemas.openxmlformats.org/officeDocument/2006/relationships/worksheet" Target="/xl/worksheets/sheet4.xml" Id="R507324d6ffdd4201" /><Relationship Type="http://schemas.openxmlformats.org/officeDocument/2006/relationships/worksheet" Target="/xl/worksheets/sheet5.xml" Id="Rbffa325dd5e44979" /><Relationship Type="http://schemas.openxmlformats.org/officeDocument/2006/relationships/worksheet" Target="/xl/worksheets/sheet6.xml" Id="Re1261fa3caee43d7" /><Relationship Type="http://schemas.openxmlformats.org/officeDocument/2006/relationships/worksheet" Target="/xl/worksheets/sheet7.xml" Id="Ra7a66c5b154e4b06" /></Relationships>
</file>

<file path=xl/tables/table1.xml><?xml version="1.0" encoding="utf-8"?>
<x:table xmlns:x="http://schemas.openxmlformats.org/spreadsheetml/2006/main" id="1" name="SubjectsynthesisTable" displayName="SubjectsynthesisTable" ref="A1:F9" headerRowCount="1" totalsRowCount="0" totalsRowShown="0">
  <x:tableColumns count="6">
    <x:tableColumn id="1" name="Family ID"/>
    <x:tableColumn id="2" name="Subject answer"/>
    <x:tableColumn id="3" name="Consolidated understanding"/>
    <x:tableColumn id="4" name="Source videos"/>
    <x:tableColumn id="5" name="Scope / status"/>
    <x:tableColumn id="6" name="Still unresolved"/>
  </x:tableColumns>
  <x:tableStyleInfo name="TableStyleMedium2" showFirstColumn="0" showLastColumn="0" showRowStripes="1" showColumnStripes="0"/>
</x:table>
</file>

<file path=xl/tables/table2.xml><?xml version="1.0" encoding="utf-8"?>
<x:table xmlns:x="http://schemas.openxmlformats.org/spreadsheetml/2006/main" id="2" name="VideocontributionsTable" displayName="VideocontributionsTable" ref="A1:K25" headerRowCount="1" totalsRowCount="0" totalsRowShown="0">
  <x:tableColumns count="11">
    <x:tableColumn id="1" name="Contribution ID"/>
    <x:tableColumn id="2" name="Video ID"/>
    <x:tableColumn id="3" name="Family ID"/>
    <x:tableColumn id="4" name="Role"/>
    <x:tableColumn id="5" name="Start"/>
    <x:tableColumn id="6" name="End"/>
    <x:tableColumn id="7" name="Contextual answer"/>
    <x:tableColumn id="8" name="Evidence type"/>
    <x:tableColumn id="9" name="Conditions / limits"/>
    <x:tableColumn id="10" name="Review basis"/>
    <x:tableColumn id="11" name="Questions addressed"/>
  </x:tableColumns>
  <x:tableStyleInfo name="TableStyleMedium2" showFirstColumn="0" showLastColumn="0" showRowStripes="1" showColumnStripes="0"/>
</x:table>
</file>

<file path=xl/tables/table3.xml><?xml version="1.0" encoding="utf-8"?>
<x:table xmlns:x="http://schemas.openxmlformats.org/spreadsheetml/2006/main" id="3" name="ResearchquestionsTable" displayName="ResearchquestionsTable" ref="A1:E37" headerRowCount="1" totalsRowCount="0" totalsRowShown="0">
  <x:tableColumns count="5">
    <x:tableColumn id="1" name="Question ID"/>
    <x:tableColumn id="2" name="Family ID"/>
    <x:tableColumn id="3" name="Provisional subject family"/>
    <x:tableColumn id="4" name="Research question"/>
    <x:tableColumn id="5" name="Status"/>
  </x:tableColumns>
  <x:tableStyleInfo name="TableStyleMedium2" showFirstColumn="0" showLastColumn="0" showRowStripes="1" showColumnStripes="0"/>
</x:table>
</file>

<file path=xl/tables/table4.xml><?xml version="1.0" encoding="utf-8"?>
<x:table xmlns:x="http://schemas.openxmlformats.org/spreadsheetml/2006/main" id="4" name="VideoindexTable" displayName="VideoindexTable" ref="A1:T696" headerRowCount="1" totalsRowCount="0" totalsRowShown="0">
  <x:tableColumns count="20">
    <x:tableColumn id="1" name="Video ID"/>
    <x:tableColumn id="2" name="Title"/>
    <x:tableColumn id="3" name="Upload date"/>
    <x:tableColumn id="4" name="Video URL"/>
    <x:tableColumn id="5" name="Complete transcript"/>
    <x:tableColumn id="6" name="Speaker evidence (inherited)"/>
    <x:tableColumn id="7" name="Content format"/>
    <x:tableColumn id="8" name="Main subject"/>
    <x:tableColumn id="9" name="Whole-video assessment"/>
    <x:tableColumn id="10" name="Substantial subjects"/>
    <x:tableColumn id="11" name="Context / promotion"/>
    <x:tableColumn id="12" name="Limits / missing visuals"/>
    <x:tableColumn id="13" name="Whole-video review status"/>
    <x:tableColumn id="14" name="Segments"/>
    <x:tableColumn id="15" name="Words"/>
    <x:tableColumn id="16" name="Duration (seconds)"/>
    <x:tableColumn id="17" name="Caption duration check"/>
    <x:tableColumn id="18" name="Duplicate source family"/>
    <x:tableColumn id="19" name="Earlier evidence occurrences"/>
    <x:tableColumn id="20" name="Source SHA-256"/>
  </x:tableColumns>
  <x:tableStyleInfo name="TableStyleMedium2" showFirstColumn="0" showLastColumn="0" showRowStripes="1" showColumnStripes="0"/>
</x:table>
</file>

<file path=xl/tables/table5.xml><?xml version="1.0" encoding="utf-8"?>
<x:table xmlns:x="http://schemas.openxmlformats.org/spreadsheetml/2006/main" id="5" name="EarlierevidenceTable" displayName="EarlierevidenceTable" ref="A1:Q64" headerRowCount="1" totalsRowCount="0" totalsRowShown="0">
  <x:tableColumns count="17">
    <x:tableColumn id="1" name="claim_id"/>
    <x:tableColumn id="2" name="video_id"/>
    <x:tableColumn id="3" name="title"/>
    <x:tableColumn id="4" name="upload_date"/>
    <x:tableColumn id="5" name="semantic_type"/>
    <x:tableColumn id="6" name="normalized_claim"/>
    <x:tableColumn id="7" name="speaker_status"/>
    <x:tableColumn id="8" name="pete_admission"/>
    <x:tableColumn id="9" name="source_validation"/>
    <x:tableColumn id="10" name="start"/>
    <x:tableColumn id="11" name="end"/>
    <x:tableColumn id="12" name="evidence_verbatim"/>
    <x:tableColumn id="13" name="evidence_kind"/>
    <x:tableColumn id="14" name="block_ids"/>
    <x:tableColumn id="15" name="scope_notes"/>
    <x:tableColumn id="16" name="url"/>
    <x:tableColumn id="17" name="original_artifact"/>
  </x:tableColumns>
  <x:tableStyleInfo name="TableStyleMedium2" showFirstColumn="0" showLastColumn="0" showRowStripes="1" showColumnStripes="0"/>
</x:table>
</file>

<file path=xl/tables/table6.xml><?xml version="1.0" encoding="utf-8"?>
<x:table xmlns:x="http://schemas.openxmlformats.org/spreadsheetml/2006/main" id="6" name="SourcechecksTable" displayName="SourcechecksTable" ref="A1:C13" headerRowCount="1" totalsRowCount="0" totalsRowShown="0">
  <x:tableColumns count="3">
    <x:tableColumn id="1" name="Check"/>
    <x:tableColumn id="2" name="Observed state"/>
    <x:tableColumn id="3" name="Scope / 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b9d0c33d574e7c" /></Relationships>
</file>

<file path=xl/worksheets/_rels/sheet3.xml.rels>&#65279;<?xml version="1.0" encoding="utf-8"?><Relationships xmlns="http://schemas.openxmlformats.org/package/2006/relationships"><Relationship Type="http://schemas.openxmlformats.org/officeDocument/2006/relationships/table" Target="/xl/tables/table2.xml" Id="Rbd5b7b4566524918" /></Relationships>
</file>

<file path=xl/worksheets/_rels/sheet4.xml.rels>&#65279;<?xml version="1.0" encoding="utf-8"?><Relationships xmlns="http://schemas.openxmlformats.org/package/2006/relationships"><Relationship Type="http://schemas.openxmlformats.org/officeDocument/2006/relationships/table" Target="/xl/tables/table3.xml" Id="Rf3f621f562ac428d" /></Relationships>
</file>

<file path=xl/worksheets/_rels/sheet5.xml.rels>&#65279;<?xml version="1.0" encoding="utf-8"?><Relationships xmlns="http://schemas.openxmlformats.org/package/2006/relationships"><Relationship Type="http://schemas.openxmlformats.org/officeDocument/2006/relationships/table" Target="/xl/tables/table4.xml" Id="Rb1cfcbc91b564d7d" /></Relationships>
</file>

<file path=xl/worksheets/_rels/sheet6.xml.rels>&#65279;<?xml version="1.0" encoding="utf-8"?><Relationships xmlns="http://schemas.openxmlformats.org/package/2006/relationships"><Relationship Type="http://schemas.openxmlformats.org/officeDocument/2006/relationships/table" Target="/xl/tables/table5.xml" Id="R94c1a6efc6194ff8" /></Relationships>
</file>

<file path=xl/worksheets/_rels/sheet7.xml.rels>&#65279;<?xml version="1.0" encoding="utf-8"?><Relationships xmlns="http://schemas.openxmlformats.org/package/2006/relationships"><Relationship Type="http://schemas.openxmlformats.org/officeDocument/2006/relationships/table" Target="/xl/tables/table6.xml" Id="R7d73ea78353544d2" /></Relationships>
</file>

<file path=xl/worksheets/sheet1.xml><?xml version="1.0" encoding="utf-8"?>
<x:worksheet xmlns:x="http://schemas.openxmlformats.org/spreadsheetml/2006/main">
  <x:sheetPr>
    <x:tabColor rgb="FF213F60"/>
  </x:sheetPr>
  <x:sheetViews>
    <x:sheetView showGridLines="0" workbookViewId="0"/>
  </x:sheetViews>
  <x:sheetFormatPr defaultRowHeight="15"/>
  <x:cols>
    <x:col min="1" max="1" width="34" hidden="0" customWidth="1"/>
    <x:col min="2" max="2" width="65" hidden="0" customWidth="1"/>
    <x:col min="3" max="3" width="65" hidden="0" customWidth="1"/>
  </x:cols>
  <x:sheetData>
    <x:row r="2">
      <x:c r="A2" s="1" t="str">
        <x:v>Video-first research database</x:v>
      </x:c>
    </x:row>
    <x:row r="4" ht="26" customHeight="1">
      <x:c r="A4" s="6" t="str">
        <x:v>Status</x:v>
      </x:c>
      <x:c r="B4" s="6" t="str">
        <x:v>Value</x:v>
      </x:c>
      <x:c r="C4" s="6" t="str">
        <x:v>Meaning</x:v>
      </x:c>
    </x:row>
    <x:row r="5" ht="46" customHeight="1">
      <x:c r="A5" s="4" t="str">
        <x:v>Source videos</x:v>
      </x:c>
      <x:c r="B5" s="7" t="n">
        <x:f>COUNTA('Video index'!A2:A696)</x:f>
        <x:v>695</x:v>
      </x:c>
      <x:c r="C5" s="4" t="str">
        <x:v>One row and one intact transcript per upload</x:v>
      </x:c>
    </x:row>
    <x:row r="6" ht="46" customHeight="1">
      <x:c r="A6" s="4" t="str">
        <x:v>Transcript segments</x:v>
      </x:c>
      <x:c r="B6" s="7" t="n">
        <x:f>SUM('Video index'!N2:N696)</x:f>
        <x:v>320407</x:v>
      </x:c>
      <x:c r="C6" s="4" t="str">
        <x:v>All source segments retained in ordered transcript files</x:v>
      </x:c>
    </x:row>
    <x:row r="7" ht="46" customHeight="1">
      <x:c r="A7" s="4" t="str">
        <x:v>Whole-transcript readings</x:v>
      </x:c>
      <x:c r="B7" s="7" t="n">
        <x:f>COUNTIFS('Video index'!M2:M696,"WHOLE TRANSCRIPT READ — visuals pending")</x:f>
        <x:v>13</x:v>
      </x:c>
      <x:c r="C7" s="4" t="str">
        <x:v>End-to-end available text reviewed for this redesign</x:v>
      </x:c>
    </x:row>
    <x:row r="8" ht="46" customHeight="1">
      <x:c r="A8" s="4" t="str">
        <x:v>Still awaiting whole-video review</x:v>
      </x:c>
      <x:c r="B8" s="7" t="n">
        <x:f>B5-B7</x:f>
        <x:v>682</x:v>
      </x:c>
      <x:c r="C8" s="4" t="str">
        <x:v>Earlier excerpt reviews do not mark these complete</x:v>
      </x:c>
    </x:row>
    <x:row r="9" ht="46" customHeight="1">
      <x:c r="A9" s="4" t="str">
        <x:v>Substantive/context contributions</x:v>
      </x:c>
      <x:c r="B9" s="7" t="n">
        <x:f>COUNTA('Video contributions'!A2:A25)</x:f>
        <x:v>24</x:v>
      </x:c>
      <x:c r="C9" s="4" t="str">
        <x:v>Primary, supporting and context-only roles remain distinct</x:v>
      </x:c>
    </x:row>
    <x:row r="10" ht="46" customHeight="1">
      <x:c r="A10" s="4" t="str">
        <x:v>Knowledge consolidation</x:v>
      </x:c>
      <x:c r="B10" s="4" t="str">
        <x:v>PARTIAL</x:v>
      </x:c>
      <x:c r="C10" s="4" t="str">
        <x:v>Categories are provisional; course chapters are not finalized</x:v>
      </x:c>
    </x:row>
    <x:row r="11" ht="46" customHeight="1">
      <x:c r="A11" s="4"/>
      <x:c r="B11" s="4"/>
      <x:c r="C11" s="4"/>
    </x:row>
    <x:row r="12" ht="26" customHeight="1">
      <x:c r="A12" s="6" t="str">
        <x:v>How to use</x:v>
      </x:c>
      <x:c r="B12" s="6" t="str">
        <x:v>Action</x:v>
      </x:c>
      <x:c r="C12" s="6" t="str">
        <x:v>Why</x:v>
      </x:c>
    </x:row>
    <x:row r="13" ht="46" customHeight="1">
      <x:c r="A13" s="4" t="str">
        <x:v>1. Read the source</x:v>
      </x:c>
      <x:c r="B13" s="4" t="str">
        <x:v>Extract the full ZIP; open complete-transcript links in Video index.</x:v>
      </x:c>
      <x:c r="C13" s="4" t="str">
        <x:v>The transcript remains one document, including timestamps.</x:v>
      </x:c>
    </x:row>
    <x:row r="14" ht="46" customHeight="1">
      <x:c r="A14" s="4" t="str">
        <x:v>2. Assess the whole video</x:v>
      </x:c>
      <x:c r="B14" s="4" t="str">
        <x:v>Identify its purpose, format and central argument before assigning subjects.</x:v>
      </x:c>
      <x:c r="C14" s="4" t="str">
        <x:v>Market updates, introductions, Q&amp;A and promotion have different uses.</x:v>
      </x:c>
    </x:row>
    <x:row r="15" ht="46" customHeight="1">
      <x:c r="A15" s="4" t="str">
        <x:v>3. Link developed contributions</x:v>
      </x:c>
      <x:c r="B15" s="4" t="str">
        <x:v>Use Primary, Supporting or Context only; keep limits and timestamps.</x:v>
      </x:c>
      <x:c r="C15" s="4" t="str">
        <x:v>Mentioning a subject does not establish a lesson or chapter.</x:v>
      </x:c>
    </x:row>
    <x:row r="16" ht="46" customHeight="1">
      <x:c r="A16" s="4" t="str">
        <x:v>4. Consolidate by question</x:v>
      </x:c>
      <x:c r="B16" s="4" t="str">
        <x:v>Combine contextual answers across sources; preserve disagreements and attribution.</x:v>
      </x:c>
      <x:c r="C16" s="4" t="str">
        <x:v>A video can contribute to several subjects without being split.</x:v>
      </x:c>
    </x:row>
    <x:row r="17" ht="46" customHeight="1">
      <x:c r="A17" s="4" t="str">
        <x:v>5. Audit and build the course</x:v>
      </x:c>
      <x:c r="B17" s="4" t="str">
        <x:v>Review answer adequacy, unmapped sources, duplicates, captions and speaker evidence.</x:v>
      </x:c>
      <x:c r="C17" s="4" t="str">
        <x:v>Chapters follow coherent supported answers, not term frequency.</x:v>
      </x:c>
    </x:row>
    <x:row r="18" ht="46" customHeight="1">
      <x:c r="A18" s="4" t="str">
        <x:v>Earlier evidence</x:v>
      </x:c>
      <x:c r="B18" s="4" t="str">
        <x:v>63 inherited passage occurrences are retained separately.</x:v>
      </x:c>
      <x:c r="C18" s="4" t="str">
        <x:v>They are not 63 independent rules or proof of whole-video coverage.</x:v>
      </x:c>
    </x:row>
    <x:row r="19" ht="46" customHeight="1">
      <x:c r="A19" s="4" t="str">
        <x:v>New gate</x:v>
      </x:c>
      <x:c r="B19" s="4" t="str">
        <x:v>Video-first protocol replaces the old exhaustive-block gate.</x:v>
      </x:c>
      <x:c r="C19" s="4" t="str">
        <x:v>The redesign is complete; knowledge review remains partial.</x:v>
      </x:c>
    </x:row>
    <x:row r="20" ht="46" customHeight="1">
      <x:c r="A20" s="4"/>
      <x:c r="B20" s="4"/>
      <x:c r="C20" s="4"/>
    </x:row>
    <x:row r="21" ht="26" customHeight="1">
      <x:c r="A21" s="6" t="str">
        <x:v>Source limitations</x:v>
      </x:c>
      <x:c r="B21" s="6" t="str">
        <x:v>Treatment</x:v>
      </x:c>
      <x:c r="C21" s="6" t="str"/>
    </x:row>
    <x:row r="22" ht="46" customHeight="1">
      <x:c r="A22" s="4" t="str">
        <x:v>Complete captions ≠ complete course</x:v>
      </x:c>
      <x:c r="B22" s="4" t="str">
        <x:v>Numbered clips and introductions can be excerpts; later promised content is not assumed present.</x:v>
      </x:c>
      <x:c r="C22" s="4" t="str"/>
    </x:row>
    <x:row r="23" ht="46" customHeight="1">
      <x:c r="A23" s="4" t="str">
        <x:v>Unknown speakers and missing visuals</x:v>
      </x:c>
      <x:c r="B23" s="4" t="str">
        <x:v>Preserve UNKNOWN attribution; flag chart explanations for video review.</x:v>
      </x:c>
      <x:c r="C23" s="4"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3" hidden="0" customWidth="1"/>
    <x:col min="2" max="2" width="40" hidden="0" customWidth="1"/>
    <x:col min="3" max="3" width="80" hidden="0" customWidth="1"/>
    <x:col min="4" max="4" width="40" hidden="0" customWidth="1"/>
    <x:col min="5" max="5" width="55" hidden="0" customWidth="1"/>
    <x:col min="6" max="6" width="70" hidden="0" customWidth="1"/>
  </x:cols>
  <x:sheetData>
    <x:row r="1" ht="36" customHeight="1">
      <x:c r="A1" s="12" t="str">
        <x:v>Family ID</x:v>
      </x:c>
      <x:c r="B1" s="12" t="str">
        <x:v>Subject answer</x:v>
      </x:c>
      <x:c r="C1" s="12" t="str">
        <x:v>Consolidated understanding</x:v>
      </x:c>
      <x:c r="D1" s="12" t="str">
        <x:v>Source videos</x:v>
      </x:c>
      <x:c r="E1" s="12" t="str">
        <x:v>Scope / status</x:v>
      </x:c>
      <x:c r="F1" s="12" t="str">
        <x:v>Still unresolved</x:v>
      </x:c>
    </x:row>
    <x:row r="2" ht="24" hidden="0" customHeight="1">
      <x:c r="A2" s="13" t="str">
        <x:v>F02</x:v>
      </x:c>
      <x:c r="B2" s="13" t="str">
        <x:v>Market context precedes narrower selection</x:v>
      </x:c>
      <x:c r="C2" s="13" t="str">
        <x:v>The reviewed excerpts frame broad-market activity as the foundation of a trade argument, then move toward sectors and narrower candidates.</x:v>
      </x:c>
      <x:c r="D2" s="13" t="str">
        <x:v>4238FMsQ1R4; uAVlgn0gcjw; gqW4fZnpM88</x:v>
      </x:c>
      <x:c r="E2" s="13" t="str">
        <x:v>PARTIAL — 3 reviewed uploads; speaker identity unresolved</x:v>
      </x:c>
      <x:c r="F2" s="13" t="str">
        <x:v>Full selection sequence, exceptions and broader corroboration remain open.</x:v>
      </x:c>
    </x:row>
    <x:row r="3" ht="24" hidden="0" customHeight="1">
      <x:c r="A3" s="13" t="str">
        <x:v>F07</x:v>
      </x:c>
      <x:c r="B3" s="13" t="str">
        <x:v>Exposure changes with situation quality</x:v>
      </x:c>
      <x:c r="C3" s="13" t="str">
        <x:v>Reviewed material pairs stronger situations with greater exposure and imperfect conditions with reduced exposure. Planning is tied to trader resources.</x:v>
      </x:c>
      <x:c r="D3" s="13" t="str">
        <x:v>9Dr79OkGioo; EMwGgBOPERA; TcEXI4W8F30</x:v>
      </x:c>
      <x:c r="E3" s="13" t="str">
        <x:v>PARTIAL — 2 distinct source families; duplicate uploads grouped</x:v>
      </x:c>
      <x:c r="F3" s="13" t="str">
        <x:v>No calibrated sizing formula, risk ceiling or objective quality definition established.</x:v>
      </x:c>
    </x:row>
    <x:row r="4" ht="15" hidden="0" customHeight="1">
      <x:c r="A4" s="13" t="str">
        <x:v>F08</x:v>
      </x:c>
      <x:c r="B4" s="13" t="str">
        <x:v>Holding time is conditional</x:v>
      </x:c>
      <x:c r="C4" s="13" t="str">
        <x:v>The 60/40 excerpt associates better situations with longer holds and weaker situations with quicker profits.</x:v>
      </x:c>
      <x:c r="D4" s="13" t="str">
        <x:v>9Dr79OkGioo</x:v>
      </x:c>
      <x:c r="E4" s="13" t="str">
        <x:v>PARTIAL — one illustrative excerpt</x:v>
      </x:c>
      <x:c r="F4" s="13" t="str">
        <x:v>Do not infer universal exit triggers or performance statistics.</x:v>
      </x:c>
    </x:row>
    <x:row r="5" ht="15" hidden="0" customHeight="1">
      <x:c r="A5" s="13" t="str">
        <x:v>F09</x:v>
      </x:c>
      <x:c r="B5" s="13" t="str">
        <x:v>Earnings preference versus a universal rule</x:v>
      </x:c>
      <x:c r="C5" s="13" t="str">
        <x:v>The earnings clip stresses checking the date and expresses a preference for trading after release and digestion.</x:v>
      </x:c>
      <x:c r="D5" s="13" t="str">
        <x:v>-aLSiEugS1A</x:v>
      </x:c>
      <x:c r="E5" s="13" t="str">
        <x:v>PARTIAL — one stock example; speaker unknown</x:v>
      </x:c>
      <x:c r="F5" s="13" t="str">
        <x:v>Before-release and through-release alternatives not resolved.</x:v>
      </x:c>
    </x:row>
    <x:row r="6" ht="15" hidden="0" customHeight="1">
      <x:c r="A6" s="13" t="str">
        <x:v>F03</x:v>
      </x:c>
      <x:c r="B6" s="13" t="str">
        <x:v>Rally interpretation affects expectation</x:v>
      </x:c>
      <x:c r="C6" s="13" t="str">
        <x:v>One chart-review exchange contrasts speed and pause behavior to infer short covering versus possible accumulation.</x:v>
      </x:c>
      <x:c r="D6" s="13" t="str">
        <x:v>pu2nSm7BmI0</x:v>
      </x:c>
      <x:c r="E6" s="13" t="str">
        <x:v>PARTIAL — one multi-speaker chart comparison</x:v>
      </x:c>
      <x:c r="F6" s="13" t="str">
        <x:v>Visual verification, participant attribution and empirical validity remain open.</x:v>
      </x:c>
    </x:row>
    <x:row r="7" ht="24" hidden="0" customHeight="1">
      <x:c r="A7" s="13" t="str">
        <x:v>F10</x:v>
      </x:c>
      <x:c r="B7" s="13" t="str">
        <x:v>Learning process and promotional content differ</x:v>
      </x:c>
      <x:c r="C7" s="13" t="str">
        <x:v>Pete’s introduction provides a learning sequence; a seminar fragment emphasizes feedback. Separate mentoring clips mostly provide encouragement or invitation.</x:v>
      </x:c>
      <x:c r="D7" s="13" t="str">
        <x:v>TCgYwLuITAI; USYyppTrDkU; KMBsws4H_Sg; Nr4O25Y2dIg</x:v>
      </x:c>
      <x:c r="E7" s="13" t="str">
        <x:v>PARTIAL — mixed teaching and promotional formats</x:v>
      </x:c>
      <x:c r="F7" s="13" t="str">
        <x:v>Motivational and invitation clips must not be promoted into technical course evidence.</x:v>
      </x:c>
    </x:row>
    <x:row r="8" ht="15" hidden="0" customHeight="1">
      <x:c r="A8" s="13" t="str">
        <x:v>F11</x:v>
      </x:c>
      <x:c r="B8" s="13" t="str">
        <x:v>Naked options warning is source-scoped</x:v>
      </x:c>
      <x:c r="C8" s="13" t="str">
        <x:v>The reviewed Q&amp;A discourages naked strategies and illustrates a defined-risk spread alternative.</x:v>
      </x:c>
      <x:c r="D8" s="13" t="str">
        <x:v>jOKFquHre2s</x:v>
      </x:c>
      <x:c r="E8" s="13" t="str">
        <x:v>PARTIAL — one Q&amp;A; speaker unknown</x:v>
      </x:c>
      <x:c r="F8" s="13" t="str">
        <x:v>Not a comprehensive options lesson or independently checked financial guidance.</x:v>
      </x:c>
    </x:row>
    <x:row r="9" ht="24" hidden="0" customHeight="1">
      <x:c r="A9" s="13" t="str">
        <x:v>F12</x:v>
      </x:c>
      <x:c r="B9" s="13" t="str">
        <x:v>Planning matches available resources</x:v>
      </x:c>
      <x:c r="C9" s="13" t="str">
        <x:v>The seminar presentation links the number of ideas, stock selection, volatility and holding horizon to skill, experience, capital and screen time.</x:v>
      </x:c>
      <x:c r="D9" s="13" t="str">
        <x:v>EMwGgBOPERA; TcEXI4W8F30</x:v>
      </x:c>
      <x:c r="E9" s="13" t="str">
        <x:v>PARTIAL — one distinct source family</x:v>
      </x:c>
      <x:c r="F9" s="13" t="str">
        <x:v>The one-hour planning comment has a capital qualifier; it is not a universal limit.</x:v>
      </x:c>
    </x:row>
  </x:sheetData>
  <x:pageMargins left="0.7" right="0.7" top="0.75" bottom="0.75" header="0.3" footer="0.3"/>
  <x:tableParts count="1">
    <x:tablePart xmlns:r="http://schemas.openxmlformats.org/officeDocument/2006/relationships" r:id="Refb9d0c33d574e7c"/>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13" hidden="0" customWidth="1"/>
    <x:col min="4" max="4" width="18" hidden="0" customWidth="1"/>
    <x:col min="5" max="5" width="17" hidden="0" customWidth="1"/>
    <x:col min="6" max="6" width="17" hidden="0" customWidth="1"/>
    <x:col min="7" max="7" width="80" hidden="0" customWidth="1"/>
    <x:col min="8" max="8" width="30" hidden="0" customWidth="1"/>
    <x:col min="9" max="9" width="65" hidden="0" customWidth="1"/>
    <x:col min="10" max="10" width="55" hidden="0" customWidth="1"/>
    <x:col min="11" max="11" width="35" hidden="0" customWidth="1"/>
  </x:cols>
  <x:sheetData>
    <x:row r="1" ht="36" customHeight="1">
      <x:c r="A1" s="12" t="str">
        <x:v>Contribution ID</x:v>
      </x:c>
      <x:c r="B1" s="12" t="str">
        <x:v>Video ID</x:v>
      </x:c>
      <x:c r="C1" s="12" t="str">
        <x:v>Family ID</x:v>
      </x:c>
      <x:c r="D1" s="12" t="str">
        <x:v>Role</x:v>
      </x:c>
      <x:c r="E1" s="12" t="str">
        <x:v>Start</x:v>
      </x:c>
      <x:c r="F1" s="12" t="str">
        <x:v>End</x:v>
      </x:c>
      <x:c r="G1" s="12" t="str">
        <x:v>Contextual answer</x:v>
      </x:c>
      <x:c r="H1" s="12" t="str">
        <x:v>Evidence type</x:v>
      </x:c>
      <x:c r="I1" s="12" t="str">
        <x:v>Conditions / limits</x:v>
      </x:c>
      <x:c r="J1" s="12" t="str">
        <x:v>Review basis</x:v>
      </x:c>
      <x:c r="K1" s="12" t="str">
        <x:v>Questions addressed</x:v>
      </x:c>
    </x:row>
    <x:row r="2" ht="15" hidden="0" customHeight="1">
      <x:c r="A2" s="13" t="str">
        <x:v>VC-001</x:v>
      </x:c>
      <x:c r="B2" s="13" t="str">
        <x:v>-aLSiEugS1A</x:v>
      </x:c>
      <x:c r="C2" s="13" t="str">
        <x:v>F09</x:v>
      </x:c>
      <x:c r="D2" s="13" t="str">
        <x:v>Primary</x:v>
      </x:c>
      <x:c r="E2" s="13" t="str">
        <x:v>00:00:09.000</x:v>
      </x:c>
      <x:c r="F2" s="13" t="str">
        <x:v>00:01:19.200</x:v>
      </x:c>
      <x:c r="G2" s="13" t="str">
        <x:v>Check earnings timing; the speaker prefers trading after the release and digestion to guessing the initial reaction.</x:v>
      </x:c>
      <x:c r="H2" s="13" t="str">
        <x:v>Preference and process</x:v>
      </x:c>
      <x:c r="I2" s="13" t="str">
        <x:v>Unknown speaker; does not answer position holding through earnings comprehensively.</x:v>
      </x:c>
      <x:c r="J2" s="13" t="str">
        <x:v>WHOLE AVAILABLE TRANSCRIPT READ; VISUALS NOT REVIEWED</x:v>
      </x:c>
      <x:c r="K2" s="13" t="str">
        <x:v>F09-Q1; F09-Q2; F09-Q3</x:v>
      </x:c>
    </x:row>
    <x:row r="3" ht="15" hidden="0" customHeight="1">
      <x:c r="A3" s="13" t="str">
        <x:v>VC-002</x:v>
      </x:c>
      <x:c r="B3" s="13" t="str">
        <x:v>-aLSiEugS1A</x:v>
      </x:c>
      <x:c r="C3" s="13" t="str">
        <x:v>F05</x:v>
      </x:c>
      <x:c r="D3" s="13" t="str">
        <x:v>Supporting</x:v>
      </x:c>
      <x:c r="E3" s="13" t="str">
        <x:v>00:00:13.500</x:v>
      </x:c>
      <x:c r="F3" s="13" t="str">
        <x:v>00:01:45.360</x:v>
      </x:c>
      <x:c r="G3" s="13" t="str">
        <x:v>Uses volatility contraction after a spike as a watch-list example, conditional on bullish earnings and a rally.</x:v>
      </x:c>
      <x:c r="H3" s="13" t="str">
        <x:v>Chart example</x:v>
      </x:c>
      <x:c r="I3" s="13" t="str">
        <x:v>Pattern and forecast require visual review; no tested reliability supplied.</x:v>
      </x:c>
      <x:c r="J3" s="13" t="str">
        <x:v>WHOLE AVAILABLE TRANSCRIPT READ; VISUALS NOT REVIEWED</x:v>
      </x:c>
      <x:c r="K3" s="13" t="str">
        <x:v>F05-Q3</x:v>
      </x:c>
    </x:row>
    <x:row r="4" ht="15" hidden="0" customHeight="1">
      <x:c r="A4" s="13" t="str">
        <x:v>VC-003</x:v>
      </x:c>
      <x:c r="B4" s="13" t="str">
        <x:v>4238FMsQ1R4</x:v>
      </x:c>
      <x:c r="C4" s="13" t="str">
        <x:v>F02</x:v>
      </x:c>
      <x:c r="D4" s="13" t="str">
        <x:v>Primary</x:v>
      </x:c>
      <x:c r="E4" s="13" t="str">
        <x:v>00:00:00.120</x:v>
      </x:c>
      <x:c r="F4" s="13" t="str">
        <x:v>00:00:38.300</x:v>
      </x:c>
      <x:c r="G4" s="13" t="str">
        <x:v>Starts tape reading with the broad market on weekly charts, then advances to sectors.</x:v>
      </x:c>
      <x:c r="H4" s="13" t="str">
        <x:v>Process</x:v>
      </x:c>
      <x:c r="I4" s="13" t="str">
        <x:v>Excerpt does not provide the full sector or stock procedure.</x:v>
      </x:c>
      <x:c r="J4" s="13" t="str">
        <x:v>WHOLE AVAILABLE TRANSCRIPT READ; VISUALS NOT REVIEWED</x:v>
      </x:c>
      <x:c r="K4" s="13" t="str">
        <x:v>F02-Q1; F02-Q2</x:v>
      </x:c>
    </x:row>
    <x:row r="5" ht="15" hidden="0" customHeight="1">
      <x:c r="A5" s="13" t="str">
        <x:v>VC-004</x:v>
      </x:c>
      <x:c r="B5" s="13" t="str">
        <x:v>9Dr79OkGioo</x:v>
      </x:c>
      <x:c r="C5" s="13" t="str">
        <x:v>F07</x:v>
      </x:c>
      <x:c r="D5" s="13" t="str">
        <x:v>Primary</x:v>
      </x:c>
      <x:c r="E5" s="13" t="str">
        <x:v>00:00:08.519</x:v>
      </x:c>
      <x:c r="F5" s="13" t="str">
        <x:v>00:00:24.960</x:v>
      </x:c>
      <x:c r="G5" s="13" t="str">
        <x:v>Describes increasing exposure in better situations and reducing it when the situation is imperfect.</x:v>
      </x:c>
      <x:c r="H5" s="13" t="str">
        <x:v>Conditional heuristic</x:v>
      </x:c>
      <x:c r="I5" s="13" t="str">
        <x:v>Quality assessment and risk ceilings are not defined here.</x:v>
      </x:c>
      <x:c r="J5" s="13" t="str">
        <x:v>WHOLE AVAILABLE TRANSCRIPT READ; VISUALS NOT REVIEWED</x:v>
      </x:c>
      <x:c r="K5" s="13" t="str">
        <x:v>F07-Q2</x:v>
      </x:c>
    </x:row>
    <x:row r="6" ht="15" hidden="0" customHeight="1">
      <x:c r="A6" s="13" t="str">
        <x:v>VC-005</x:v>
      </x:c>
      <x:c r="B6" s="13" t="str">
        <x:v>9Dr79OkGioo</x:v>
      </x:c>
      <x:c r="C6" s="13" t="str">
        <x:v>F08</x:v>
      </x:c>
      <x:c r="D6" s="13" t="str">
        <x:v>Supporting</x:v>
      </x:c>
      <x:c r="E6" s="13" t="str">
        <x:v>00:00:13.080</x:v>
      </x:c>
      <x:c r="F6" s="13" t="str">
        <x:v>00:00:24.960</x:v>
      </x:c>
      <x:c r="G6" s="13" t="str">
        <x:v>Pairs better situations with longer holds and imperfect situations with quicker profit-taking.</x:v>
      </x:c>
      <x:c r="H6" s="13" t="str">
        <x:v>Conditional heuristic</x:v>
      </x:c>
      <x:c r="I6" s="13" t="str">
        <x:v>Not a fixed holding-time rule.</x:v>
      </x:c>
      <x:c r="J6" s="13" t="str">
        <x:v>WHOLE AVAILABLE TRANSCRIPT READ; VISUALS NOT REVIEWED</x:v>
      </x:c>
      <x:c r="K6" s="13" t="str">
        <x:v>F08-Q2</x:v>
      </x:c>
    </x:row>
    <x:row r="7" ht="15" hidden="0" customHeight="1">
      <x:c r="A7" s="13" t="str">
        <x:v>VC-006</x:v>
      </x:c>
      <x:c r="B7" s="13" t="str">
        <x:v>9Dr79OkGioo</x:v>
      </x:c>
      <x:c r="C7" s="13" t="str">
        <x:v>F01</x:v>
      </x:c>
      <x:c r="D7" s="13" t="str">
        <x:v>Supporting</x:v>
      </x:c>
      <x:c r="E7" s="13" t="str">
        <x:v>00:00:27.119</x:v>
      </x:c>
      <x:c r="F7" s="13" t="str">
        <x:v>00:00:59.399</x:v>
      </x:c>
      <x:c r="G7" s="13" t="str">
        <x:v>Illustrates many small offsetting outcomes and a smaller set of larger contributors using 60/40 language.</x:v>
      </x:c>
      <x:c r="H7" s="13" t="str">
        <x:v>Illustrative framework</x:v>
      </x:c>
      <x:c r="I7" s="13" t="str">
        <x:v>Not an empirical win-rate estimate or a promised return.</x:v>
      </x:c>
      <x:c r="J7" s="13" t="str">
        <x:v>WHOLE AVAILABLE TRANSCRIPT READ; VISUALS NOT REVIEWED</x:v>
      </x:c>
      <x:c r="K7" s="13" t="str">
        <x:v>F01-Q2; F01-Q3</x:v>
      </x:c>
    </x:row>
    <x:row r="8" ht="15" hidden="0" customHeight="1">
      <x:c r="A8" s="13" t="str">
        <x:v>VC-007</x:v>
      </x:c>
      <x:c r="B8" s="13" t="str">
        <x:v>KMBsws4H_Sg</x:v>
      </x:c>
      <x:c r="C8" s="13" t="str">
        <x:v>F10</x:v>
      </x:c>
      <x:c r="D8" s="13" t="str">
        <x:v>Context only</x:v>
      </x:c>
      <x:c r="E8" s="13" t="str">
        <x:v>00:00:02.159</x:v>
      </x:c>
      <x:c r="F8" s="13" t="str">
        <x:v>00:00:49.719</x:v>
      </x:c>
      <x:c r="G8" s="13" t="str">
        <x:v>Encourages asking experienced people questions and pursuing mentoring.</x:v>
      </x:c>
      <x:c r="H8" s="13" t="str">
        <x:v>Motivational promotion</x:v>
      </x:c>
      <x:c r="I8" s="13" t="str">
        <x:v>No developed trading technique; not sufficient chapter evidence.</x:v>
      </x:c>
      <x:c r="J8" s="13" t="str">
        <x:v>WHOLE AVAILABLE TRANSCRIPT READ; VISUALS NOT REVIEWED</x:v>
      </x:c>
      <x:c r="K8" s="13" t="str">
        <x:v>F10-Q3</x:v>
      </x:c>
    </x:row>
    <x:row r="9" ht="15" hidden="0" customHeight="1">
      <x:c r="A9" s="13" t="str">
        <x:v>VC-008</x:v>
      </x:c>
      <x:c r="B9" s="13" t="str">
        <x:v>Nr4O25Y2dIg</x:v>
      </x:c>
      <x:c r="C9" s="13" t="str">
        <x:v>F10</x:v>
      </x:c>
      <x:c r="D9" s="13" t="str">
        <x:v>Context only</x:v>
      </x:c>
      <x:c r="E9" s="13" t="str">
        <x:v>00:00:02.440</x:v>
      </x:c>
      <x:c r="F9" s="13" t="str">
        <x:v>00:00:27.880</x:v>
      </x:c>
      <x:c r="G9" s="13" t="str">
        <x:v>Invites participation in mentoring and live market discussions.</x:v>
      </x:c>
      <x:c r="H9" s="13" t="str">
        <x:v>Promotion</x:v>
      </x:c>
      <x:c r="I9" s="13" t="str">
        <x:v>Timing is mentioned but not developed into teaching.</x:v>
      </x:c>
      <x:c r="J9" s="13" t="str">
        <x:v>WHOLE AVAILABLE TRANSCRIPT READ; VISUALS NOT REVIEWED</x:v>
      </x:c>
      <x:c r="K9" s="13" t="str">
        <x:v>F10-Q3</x:v>
      </x:c>
    </x:row>
    <x:row r="10" ht="15" hidden="0" customHeight="1">
      <x:c r="A10" s="13" t="str">
        <x:v>VC-009</x:v>
      </x:c>
      <x:c r="B10" s="13" t="str">
        <x:v>USYyppTrDkU</x:v>
      </x:c>
      <x:c r="C10" s="13" t="str">
        <x:v>F10</x:v>
      </x:c>
      <x:c r="D10" s="13" t="str">
        <x:v>Primary</x:v>
      </x:c>
      <x:c r="E10" s="13" t="str">
        <x:v>00:00:24.160</x:v>
      </x:c>
      <x:c r="F10" s="13" t="str">
        <x:v>00:01:10.000</x:v>
      </x:c>
      <x:c r="G10" s="13" t="str">
        <x:v>Working harder alone is insufficient; attend to what is and is not working while pursuing improvement.</x:v>
      </x:c>
      <x:c r="H10" s="13" t="str">
        <x:v>Learning heuristic</x:v>
      </x:c>
      <x:c r="I10" s="13" t="str">
        <x:v>Personal seminar context, not a formal journal protocol.</x:v>
      </x:c>
      <x:c r="J10" s="13" t="str">
        <x:v>WHOLE AVAILABLE TRANSCRIPT READ; VISUALS NOT REVIEWED</x:v>
      </x:c>
      <x:c r="K10" s="13" t="str">
        <x:v>F10-Q2</x:v>
      </x:c>
    </x:row>
    <x:row r="11" ht="15" hidden="0" customHeight="1">
      <x:c r="A11" s="13" t="str">
        <x:v>VC-010</x:v>
      </x:c>
      <x:c r="B11" s="13" t="str">
        <x:v>gqW4fZnpM88</x:v>
      </x:c>
      <x:c r="C11" s="13" t="str">
        <x:v>F04</x:v>
      </x:c>
      <x:c r="D11" s="13" t="str">
        <x:v>Primary</x:v>
      </x:c>
      <x:c r="E11" s="13" t="str">
        <x:v>00:00:01.319</x:v>
      </x:c>
      <x:c r="F11" s="13" t="str">
        <x:v>00:01:22.680</x:v>
      </x:c>
      <x:c r="G11" s="13" t="str">
        <x:v>Narrows a sector into industries and stock candidates using average volume, volatility and performance.</x:v>
      </x:c>
      <x:c r="H11" s="13" t="str">
        <x:v>Demonstrated selection process</x:v>
      </x:c>
      <x:c r="I11" s="13" t="str">
        <x:v>Two-million average volume is the speaker’s usual setting; no ATR cutoff supplied.</x:v>
      </x:c>
      <x:c r="J11" s="13" t="str">
        <x:v>WHOLE AVAILABLE TRANSCRIPT READ; VISUALS NOT REVIEWED</x:v>
      </x:c>
      <x:c r="K11" s="13" t="str">
        <x:v>F04-Q1; F04-Q2; F04-Q3</x:v>
      </x:c>
    </x:row>
    <x:row r="12" ht="15" hidden="0" customHeight="1">
      <x:c r="A12" s="13" t="str">
        <x:v>VC-011</x:v>
      </x:c>
      <x:c r="B12" s="13" t="str">
        <x:v>jOKFquHre2s</x:v>
      </x:c>
      <x:c r="C12" s="13" t="str">
        <x:v>F11</x:v>
      </x:c>
      <x:c r="D12" s="13" t="str">
        <x:v>Primary</x:v>
      </x:c>
      <x:c r="E12" s="13" t="str">
        <x:v>00:00:00.080</x:v>
      </x:c>
      <x:c r="F12" s="13" t="str">
        <x:v>00:01:18.880</x:v>
      </x:c>
      <x:c r="G12" s="13" t="str">
        <x:v>Discourages naked strategies for beginners; contrasts put assignment commitment with a credit-spread alternative.</x:v>
      </x:c>
      <x:c r="H12" s="13" t="str">
        <x:v>Warning, preference and example</x:v>
      </x:c>
      <x:c r="I12" s="13" t="str">
        <x:v>Speaker unknown; illustration does not exhaust the risks of either strategy.</x:v>
      </x:c>
      <x:c r="J12" s="13" t="str">
        <x:v>WHOLE AVAILABLE TRANSCRIPT READ; VISUALS NOT REVIEWED</x:v>
      </x:c>
      <x:c r="K12" s="13" t="str">
        <x:v>F11-Q1; F11-Q3</x:v>
      </x:c>
    </x:row>
    <x:row r="13" ht="15" hidden="0" customHeight="1">
      <x:c r="A13" s="13" t="str">
        <x:v>VC-012</x:v>
      </x:c>
      <x:c r="B13" s="13" t="str">
        <x:v>pu2nSm7BmI0</x:v>
      </x:c>
      <x:c r="C13" s="13" t="str">
        <x:v>F03</x:v>
      </x:c>
      <x:c r="D13" s="13" t="str">
        <x:v>Primary</x:v>
      </x:c>
      <x:c r="E13" s="13" t="str">
        <x:v>00:00:19.600</x:v>
      </x:c>
      <x:c r="F13" s="13" t="str">
        <x:v>00:01:59.840</x:v>
      </x:c>
      <x:c r="G13" s="13" t="str">
        <x:v>Interprets fast rally/failure to pause as short covering and organized rally/held pause as possible new buying.</x:v>
      </x:c>
      <x:c r="H13" s="13" t="str">
        <x:v>Chart-based interpretive heuristic</x:v>
      </x:c>
      <x:c r="I13" s="13" t="str">
        <x:v>Multiple speakers and chart dependence; not observed participant identity.</x:v>
      </x:c>
      <x:c r="J13" s="13" t="str">
        <x:v>WHOLE AVAILABLE TRANSCRIPT READ; VISUALS NOT REVIEWED</x:v>
      </x:c>
      <x:c r="K13" s="13" t="str">
        <x:v>F03-Q2; F03-Q3</x:v>
      </x:c>
    </x:row>
    <x:row r="14" ht="15" hidden="0" customHeight="1">
      <x:c r="A14" s="13" t="str">
        <x:v>VC-013</x:v>
      </x:c>
      <x:c r="B14" s="13" t="str">
        <x:v>pu2nSm7BmI0</x:v>
      </x:c>
      <x:c r="C14" s="13" t="str">
        <x:v>F06</x:v>
      </x:c>
      <x:c r="D14" s="13" t="str">
        <x:v>Supporting</x:v>
      </x:c>
      <x:c r="E14" s="13" t="str">
        <x:v>00:00:59.520</x:v>
      </x:c>
      <x:c r="F14" s="13" t="str">
        <x:v>00:01:42.400</x:v>
      </x:c>
      <x:c r="G14" s="13" t="str">
        <x:v>Connects exiting shorts versus initiating longs to expectations for the next move.</x:v>
      </x:c>
      <x:c r="H14" s="13" t="str">
        <x:v>Conditional explanation</x:v>
      </x:c>
      <x:c r="I14" s="13" t="str">
        <x:v>Requires corroboration; preserve probabilistic language.</x:v>
      </x:c>
      <x:c r="J14" s="13" t="str">
        <x:v>WHOLE AVAILABLE TRANSCRIPT READ; VISUALS NOT REVIEWED</x:v>
      </x:c>
      <x:c r="K14" s="13" t="str">
        <x:v>F06-Q2</x:v>
      </x:c>
    </x:row>
    <x:row r="15" ht="15" hidden="0" customHeight="1">
      <x:c r="A15" s="13" t="str">
        <x:v>VC-014</x:v>
      </x:c>
      <x:c r="B15" s="13" t="str">
        <x:v>uAVlgn0gcjw</x:v>
      </x:c>
      <x:c r="C15" s="13" t="str">
        <x:v>F02</x:v>
      </x:c>
      <x:c r="D15" s="13" t="str">
        <x:v>Primary</x:v>
      </x:c>
      <x:c r="E15" s="13" t="str">
        <x:v>00:00:00.420</x:v>
      </x:c>
      <x:c r="F15" s="13" t="str">
        <x:v>00:01:38.340</x:v>
      </x:c>
      <x:c r="G15" s="13" t="str">
        <x:v>Defines tape reading here as building an argument with broader market activity behind the stock.</x:v>
      </x:c>
      <x:c r="H15" s="13" t="str">
        <x:v>Definition and process</x:v>
      </x:c>
      <x:c r="I15" s="13" t="str">
        <x:v>No numeric probability calculation given.</x:v>
      </x:c>
      <x:c r="J15" s="13" t="str">
        <x:v>WHOLE AVAILABLE TRANSCRIPT READ; VISUALS NOT REVIEWED</x:v>
      </x:c>
      <x:c r="K15" s="13" t="str">
        <x:v>F02-Q1</x:v>
      </x:c>
    </x:row>
    <x:row r="16" ht="15" hidden="0" customHeight="1">
      <x:c r="A16" s="13" t="str">
        <x:v>VC-015</x:v>
      </x:c>
      <x:c r="B16" s="13" t="str">
        <x:v>uAVlgn0gcjw</x:v>
      </x:c>
      <x:c r="C16" s="13" t="str">
        <x:v>F06</x:v>
      </x:c>
      <x:c r="D16" s="13" t="str">
        <x:v>Supporting</x:v>
      </x:c>
      <x:c r="E16" s="13" t="str">
        <x:v>00:00:42.600</x:v>
      </x:c>
      <x:c r="F16" s="13" t="str">
        <x:v>00:01:31.380</x:v>
      </x:c>
      <x:c r="G16" s="13" t="str">
        <x:v>Contrasts a weak yesterday-up argument with broad-market directional support.</x:v>
      </x:c>
      <x:c r="H16" s="13" t="str">
        <x:v>Comparative explanation</x:v>
      </x:c>
      <x:c r="I16" s="13" t="str">
        <x:v>Not a universal prohibition on every stock-only setup.</x:v>
      </x:c>
      <x:c r="J16" s="13" t="str">
        <x:v>WHOLE AVAILABLE TRANSCRIPT READ; VISUALS NOT REVIEWED</x:v>
      </x:c>
      <x:c r="K16" s="13" t="str">
        <x:v>F06-Q1</x:v>
      </x:c>
    </x:row>
    <x:row r="17" ht="15" hidden="0" customHeight="1">
      <x:c r="A17" s="13" t="str">
        <x:v>VC-016</x:v>
      </x:c>
      <x:c r="B17" s="13" t="str">
        <x:v>TCgYwLuITAI</x:v>
      </x:c>
      <x:c r="C17" s="13" t="str">
        <x:v>F10</x:v>
      </x:c>
      <x:c r="D17" s="13" t="str">
        <x:v>Primary</x:v>
      </x:c>
      <x:c r="E17" s="13" t="str">
        <x:v>00:01:24.780</x:v>
      </x:c>
      <x:c r="F17" s="13" t="str">
        <x:v>00:02:26.700</x:v>
      </x:c>
      <x:c r="G17" s="13" t="str">
        <x:v>Sequences mindset, risk and edge before entries/exits; promotes explanation and repetitions for independent decisions.</x:v>
      </x:c>
      <x:c r="H17" s="13" t="str">
        <x:v>Learning process</x:v>
      </x:c>
      <x:c r="I17" s="13" t="str">
        <x:v>Introductory sequence; promised later lesson is outside this transcript.</x:v>
      </x:c>
      <x:c r="J17" s="13" t="str">
        <x:v>WHOLE AVAILABLE TRANSCRIPT READ; VISUALS NOT REVIEWED</x:v>
      </x:c>
      <x:c r="K17" s="13" t="str">
        <x:v>F10-Q1</x:v>
      </x:c>
    </x:row>
    <x:row r="18" ht="15" hidden="0" customHeight="1">
      <x:c r="A18" s="13" t="str">
        <x:v>VC-017</x:v>
      </x:c>
      <x:c r="B18" s="13" t="str">
        <x:v>TCgYwLuITAI</x:v>
      </x:c>
      <x:c r="C18" s="13" t="str">
        <x:v>F01</x:v>
      </x:c>
      <x:c r="D18" s="13" t="str">
        <x:v>Supporting</x:v>
      </x:c>
      <x:c r="E18" s="13" t="str">
        <x:v>00:01:48.780</x:v>
      </x:c>
      <x:c r="F18" s="13" t="str">
        <x:v>00:01:58.200</x:v>
      </x:c>
      <x:c r="G18" s="13" t="str">
        <x:v>Describes having an edge as probabilities of movement in the trader’s favor.</x:v>
      </x:c>
      <x:c r="H18" s="13" t="str">
        <x:v>Speaker definition</x:v>
      </x:c>
      <x:c r="I18" s="13" t="str">
        <x:v>Simplified definition; no evidence of an empirically measured edge here.</x:v>
      </x:c>
      <x:c r="J18" s="13" t="str">
        <x:v>WHOLE AVAILABLE TRANSCRIPT READ; VISUALS NOT REVIEWED</x:v>
      </x:c>
      <x:c r="K18" s="13" t="str">
        <x:v>F01-Q1</x:v>
      </x:c>
    </x:row>
    <x:row r="19" ht="15" hidden="0" customHeight="1">
      <x:c r="A19" s="13" t="str">
        <x:v>VC-018</x:v>
      </x:c>
      <x:c r="B19" s="13" t="str">
        <x:v>TCgYwLuITAI</x:v>
      </x:c>
      <x:c r="C19" s="13" t="str">
        <x:v>F07</x:v>
      </x:c>
      <x:c r="D19" s="13" t="str">
        <x:v>Supporting</x:v>
      </x:c>
      <x:c r="E19" s="13" t="str">
        <x:v>00:01:27.240</x:v>
      </x:c>
      <x:c r="F19" s="13" t="str">
        <x:v>00:01:47.280</x:v>
      </x:c>
      <x:c r="G19" s="13" t="str">
        <x:v>Positions understanding money at risk before deciding to trade.</x:v>
      </x:c>
      <x:c r="H19" s="13" t="str">
        <x:v>Learning prerequisite</x:v>
      </x:c>
      <x:c r="I19" s="13" t="str">
        <x:v>Not a position-sizing method.</x:v>
      </x:c>
      <x:c r="J19" s="13" t="str">
        <x:v>WHOLE AVAILABLE TRANSCRIPT READ; VISUALS NOT REVIEWED</x:v>
      </x:c>
      <x:c r="K19" s="13" t="str">
        <x:v>F07-Q1</x:v>
      </x:c>
    </x:row>
    <x:row r="20" ht="15" hidden="0" customHeight="1">
      <x:c r="A20" s="13" t="str">
        <x:v>VC-019</x:v>
      </x:c>
      <x:c r="B20" s="13" t="str">
        <x:v>EMwGgBOPERA</x:v>
      </x:c>
      <x:c r="C20" s="13" t="str">
        <x:v>F07</x:v>
      </x:c>
      <x:c r="D20" s="13" t="str">
        <x:v>Primary</x:v>
      </x:c>
      <x:c r="E20" s="13" t="str">
        <x:v>00:00:03.040</x:v>
      </x:c>
      <x:c r="F20" s="13" t="str">
        <x:v>00:01:24.320</x:v>
      </x:c>
      <x:c r="G20" s="13" t="str">
        <x:v>Adapt exposure to conditions; preserving capital in difficult conditions matters alongside capitalizing on good ones.</x:v>
      </x:c>
      <x:c r="H20" s="13" t="str">
        <x:v>Conditional process</x:v>
      </x:c>
      <x:c r="I20" s="13" t="str">
        <x:v>Duplicate upload family; promotional seminar; attribution unresolved.</x:v>
      </x:c>
      <x:c r="J20" s="13" t="str">
        <x:v>WHOLE AVAILABLE TRANSCRIPT READ; VISUALS NOT REVIEWED</x:v>
      </x:c>
      <x:c r="K20" s="13" t="str">
        <x:v>F07-Q2</x:v>
      </x:c>
    </x:row>
    <x:row r="21" ht="15" hidden="0" customHeight="1">
      <x:c r="A21" s="13" t="str">
        <x:v>VC-020</x:v>
      </x:c>
      <x:c r="B21" s="13" t="str">
        <x:v>EMwGgBOPERA</x:v>
      </x:c>
      <x:c r="C21" s="13" t="str">
        <x:v>F12</x:v>
      </x:c>
      <x:c r="D21" s="13" t="str">
        <x:v>Supporting</x:v>
      </x:c>
      <x:c r="E21" s="13" t="str">
        <x:v>00:01:25.079</x:v>
      </x:c>
      <x:c r="F21" s="13" t="str">
        <x:v>00:02:11.039</x:v>
      </x:c>
      <x:c r="G21" s="13" t="str">
        <x:v>Limit the number of ideas and match trading to skills, experience, capital and available screen time.</x:v>
      </x:c>
      <x:c r="H21" s="13" t="str">
        <x:v>Planning process</x:v>
      </x:c>
      <x:c r="I21" s="13" t="str">
        <x:v>One-hour comment is context-qualified, not a universal screening deadline.</x:v>
      </x:c>
      <x:c r="J21" s="13" t="str">
        <x:v>WHOLE AVAILABLE TRANSCRIPT READ; VISUALS NOT REVIEWED</x:v>
      </x:c>
      <x:c r="K21" s="13" t="str">
        <x:v>F12-Q1; F12-Q3</x:v>
      </x:c>
    </x:row>
    <x:row r="22" ht="15" hidden="0" customHeight="1">
      <x:c r="A22" s="13" t="str">
        <x:v>VC-021</x:v>
      </x:c>
      <x:c r="B22" s="13" t="str">
        <x:v>EMwGgBOPERA</x:v>
      </x:c>
      <x:c r="C22" s="13" t="str">
        <x:v>F05</x:v>
      </x:c>
      <x:c r="D22" s="13" t="str">
        <x:v>Supporting</x:v>
      </x:c>
      <x:c r="E22" s="13" t="str">
        <x:v>00:02:33.360</x:v>
      </x:c>
      <x:c r="F22" s="13" t="str">
        <x:v>00:02:59.480</x:v>
      </x:c>
      <x:c r="G22" s="13" t="str">
        <x:v>Illustrates waiting for improved location and coordinated market, volume, TICK and VIX conditions.</x:v>
      </x:c>
      <x:c r="H22" s="13" t="str">
        <x:v>Conditional trade example</x:v>
      </x:c>
      <x:c r="I22" s="13" t="str">
        <x:v>Example is not a complete entry system; do not count duplicate upload as corroboration.</x:v>
      </x:c>
      <x:c r="J22" s="13" t="str">
        <x:v>WHOLE AVAILABLE TRANSCRIPT READ; VISUALS NOT REVIEWED</x:v>
      </x:c>
      <x:c r="K22" s="13" t="str">
        <x:v>F05-Q2; F05-Q3</x:v>
      </x:c>
    </x:row>
    <x:row r="23" ht="15" hidden="0" customHeight="1">
      <x:c r="A23" s="13" t="str">
        <x:v>VC-022</x:v>
      </x:c>
      <x:c r="B23" s="13" t="str">
        <x:v>TcEXI4W8F30</x:v>
      </x:c>
      <x:c r="C23" s="13" t="str">
        <x:v>F07</x:v>
      </x:c>
      <x:c r="D23" s="13" t="str">
        <x:v>Primary</x:v>
      </x:c>
      <x:c r="E23" s="13" t="str">
        <x:v>00:00:06.240</x:v>
      </x:c>
      <x:c r="F23" s="13" t="str">
        <x:v>00:01:24.320</x:v>
      </x:c>
      <x:c r="G23" s="13" t="str">
        <x:v>Adapt exposure to conditions; preserving capital in difficult conditions matters alongside capitalizing on good ones.</x:v>
      </x:c>
      <x:c r="H23" s="13" t="str">
        <x:v>Conditional process</x:v>
      </x:c>
      <x:c r="I23" s="13" t="str">
        <x:v>Duplicate upload family; promotional seminar; attribution unresolved.</x:v>
      </x:c>
      <x:c r="J23" s="13" t="str">
        <x:v>WHOLE AVAILABLE TRANSCRIPT READ; VISUALS NOT REVIEWED</x:v>
      </x:c>
      <x:c r="K23" s="13" t="str">
        <x:v>F07-Q2</x:v>
      </x:c>
    </x:row>
    <x:row r="24" ht="15" hidden="0" customHeight="1">
      <x:c r="A24" s="13" t="str">
        <x:v>VC-023</x:v>
      </x:c>
      <x:c r="B24" s="13" t="str">
        <x:v>TcEXI4W8F30</x:v>
      </x:c>
      <x:c r="C24" s="13" t="str">
        <x:v>F12</x:v>
      </x:c>
      <x:c r="D24" s="13" t="str">
        <x:v>Supporting</x:v>
      </x:c>
      <x:c r="E24" s="13" t="str">
        <x:v>00:01:28.280</x:v>
      </x:c>
      <x:c r="F24" s="13" t="str">
        <x:v>00:02:11.039</x:v>
      </x:c>
      <x:c r="G24" s="13" t="str">
        <x:v>Limit the number of ideas and match trading to skills, experience, capital and available screen time.</x:v>
      </x:c>
      <x:c r="H24" s="13" t="str">
        <x:v>Planning process</x:v>
      </x:c>
      <x:c r="I24" s="13" t="str">
        <x:v>One-hour comment is context-qualified, not a universal screening deadline.</x:v>
      </x:c>
      <x:c r="J24" s="13" t="str">
        <x:v>WHOLE AVAILABLE TRANSCRIPT READ; VISUALS NOT REVIEWED</x:v>
      </x:c>
      <x:c r="K24" s="13" t="str">
        <x:v>F12-Q1; F12-Q3</x:v>
      </x:c>
    </x:row>
    <x:row r="25" ht="15" hidden="0" customHeight="1">
      <x:c r="A25" s="13" t="str">
        <x:v>VC-024</x:v>
      </x:c>
      <x:c r="B25" s="13" t="str">
        <x:v>TcEXI4W8F30</x:v>
      </x:c>
      <x:c r="C25" s="13" t="str">
        <x:v>F05</x:v>
      </x:c>
      <x:c r="D25" s="13" t="str">
        <x:v>Supporting</x:v>
      </x:c>
      <x:c r="E25" s="13" t="str">
        <x:v>00:02:36.560</x:v>
      </x:c>
      <x:c r="F25" s="13" t="str">
        <x:v>00:02:59.480</x:v>
      </x:c>
      <x:c r="G25" s="13" t="str">
        <x:v>Illustrates waiting for improved location and coordinated market, volume, TICK and VIX conditions.</x:v>
      </x:c>
      <x:c r="H25" s="13" t="str">
        <x:v>Conditional trade example</x:v>
      </x:c>
      <x:c r="I25" s="13" t="str">
        <x:v>Example is not a complete entry system; do not count duplicate upload as corroboration.</x:v>
      </x:c>
      <x:c r="J25" s="13" t="str">
        <x:v>WHOLE AVAILABLE TRANSCRIPT READ; VISUALS NOT REVIEWED</x:v>
      </x:c>
      <x:c r="K25" s="13" t="str">
        <x:v>F05-Q2; F05-Q3</x:v>
      </x:c>
    </x:row>
  </x:sheetData>
  <x:conditionalFormatting sqref="D2:D25">
    <x:cfRule type="containsText" dxfId="0" priority="1" operator="containsText" text="Context only"/>
  </x:conditionalFormatting>
  <x:dataValidations count="1">
    <x:dataValidation type="list" sqref="D2:D25">
      <x:formula1>"Primary,Supporting,Context only,Incidental"</x:formula1>
    </x:dataValidation>
  </x:dataValidations>
  <x:pageMargins left="0.7" right="0.7" top="0.75" bottom="0.75" header="0.3" footer="0.3"/>
  <x:tableParts count="1">
    <x:tablePart xmlns:r="http://schemas.openxmlformats.org/officeDocument/2006/relationships" r:id="Rbd5b7b4566524918"/>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3" hidden="0" customWidth="1"/>
    <x:col min="3" max="3" width="45" hidden="0" customWidth="1"/>
    <x:col min="4" max="4" width="100" hidden="0" customWidth="1"/>
    <x:col min="5" max="5" width="58" hidden="0" customWidth="1"/>
  </x:cols>
  <x:sheetData>
    <x:row r="1" ht="36" customHeight="1">
      <x:c r="A1" s="12" t="str">
        <x:v>Question ID</x:v>
      </x:c>
      <x:c r="B1" s="12" t="str">
        <x:v>Family ID</x:v>
      </x:c>
      <x:c r="C1" s="12" t="str">
        <x:v>Provisional subject family</x:v>
      </x:c>
      <x:c r="D1" s="12" t="str">
        <x:v>Research question</x:v>
      </x:c>
      <x:c r="E1" s="12" t="str">
        <x:v>Status</x:v>
      </x:c>
    </x:row>
    <x:row r="2" ht="15" hidden="0" customHeight="1">
      <x:c r="A2" s="13" t="str">
        <x:v>F01-Q1</x:v>
      </x:c>
      <x:c r="B2" s="13" t="str">
        <x:v>F01</x:v>
      </x:c>
      <x:c r="C2" s="13" t="str">
        <x:v>Trading business and expectancy</x:v>
      </x:c>
      <x:c r="D2" s="13" t="str">
        <x:v>What does the speaker mean by edge and probability?</x:v>
      </x:c>
      <x:c r="E2" s="13" t="str">
        <x:v>PROVISIONAL RESEARCH QUESTION — not a course chapter</x:v>
      </x:c>
    </x:row>
    <x:row r="3" ht="15" hidden="0" customHeight="1">
      <x:c r="A3" s="13" t="str">
        <x:v>F01-Q2</x:v>
      </x:c>
      <x:c r="B3" s="13" t="str">
        <x:v>F01</x:v>
      </x:c>
      <x:c r="C3" s="13" t="str">
        <x:v>Trading business and expectancy</x:v>
      </x:c>
      <x:c r="D3" s="13" t="str">
        <x:v>How are small outcomes and larger opportunities combined?</x:v>
      </x:c>
      <x:c r="E3" s="13" t="str">
        <x:v>PROVISIONAL RESEARCH QUESTION — not a course chapter</x:v>
      </x:c>
    </x:row>
    <x:row r="4" ht="15" hidden="0" customHeight="1">
      <x:c r="A4" s="13" t="str">
        <x:v>F01-Q3</x:v>
      </x:c>
      <x:c r="B4" s="13" t="str">
        <x:v>F01</x:v>
      </x:c>
      <x:c r="C4" s="13" t="str">
        <x:v>Trading business and expectancy</x:v>
      </x:c>
      <x:c r="D4" s="13" t="str">
        <x:v>Which numerical examples are illustrative or ambiguous?</x:v>
      </x:c>
      <x:c r="E4" s="13" t="str">
        <x:v>PROVISIONAL RESEARCH QUESTION — not a course chapter</x:v>
      </x:c>
    </x:row>
    <x:row r="5" ht="15" hidden="0" customHeight="1">
      <x:c r="A5" s="13" t="str">
        <x:v>F02-Q1</x:v>
      </x:c>
      <x:c r="B5" s="13" t="str">
        <x:v>F02</x:v>
      </x:c>
      <x:c r="C5" s="13" t="str">
        <x:v>Market context and tape reading</x:v>
      </x:c>
      <x:c r="D5" s="13" t="str">
        <x:v>What market evidence supports a trade argument?</x:v>
      </x:c>
      <x:c r="E5" s="13" t="str">
        <x:v>PROVISIONAL RESEARCH QUESTION — not a course chapter</x:v>
      </x:c>
    </x:row>
    <x:row r="6" ht="15" hidden="0" customHeight="1">
      <x:c r="A6" s="13" t="str">
        <x:v>F02-Q2</x:v>
      </x:c>
      <x:c r="B6" s="13" t="str">
        <x:v>F02</x:v>
      </x:c>
      <x:c r="C6" s="13" t="str">
        <x:v>Market context and tape reading</x:v>
      </x:c>
      <x:c r="D6" s="13" t="str">
        <x:v>How is market context connected to sectors and stocks?</x:v>
      </x:c>
      <x:c r="E6" s="13" t="str">
        <x:v>PROVISIONAL RESEARCH QUESTION — not a course chapter</x:v>
      </x:c>
    </x:row>
    <x:row r="7" ht="15" hidden="0" customHeight="1">
      <x:c r="A7" s="13" t="str">
        <x:v>F02-Q3</x:v>
      </x:c>
      <x:c r="B7" s="13" t="str">
        <x:v>F02</x:v>
      </x:c>
      <x:c r="C7" s="13" t="str">
        <x:v>Market context and tape reading</x:v>
      </x:c>
      <x:c r="D7" s="13" t="str">
        <x:v>What signals cause the speaker to reduce conviction?</x:v>
      </x:c>
      <x:c r="E7" s="13" t="str">
        <x:v>PROVISIONAL RESEARCH QUESTION — not a course chapter</x:v>
      </x:c>
    </x:row>
    <x:row r="8" ht="15" hidden="0" customHeight="1">
      <x:c r="A8" s="13" t="str">
        <x:v>F03-Q1</x:v>
      </x:c>
      <x:c r="B8" s="13" t="str">
        <x:v>F03</x:v>
      </x:c>
      <x:c r="C8" s="13" t="str">
        <x:v>Order flow and participant interpretation</x:v>
      </x:c>
      <x:c r="D8" s="13" t="str">
        <x:v>How does the speaker describe institutional activity?</x:v>
      </x:c>
      <x:c r="E8" s="13" t="str">
        <x:v>PROVISIONAL RESEARCH QUESTION — not a course chapter</x:v>
      </x:c>
    </x:row>
    <x:row r="9" ht="15" hidden="0" customHeight="1">
      <x:c r="A9" s="13" t="str">
        <x:v>F03-Q2</x:v>
      </x:c>
      <x:c r="B9" s="13" t="str">
        <x:v>F03</x:v>
      </x:c>
      <x:c r="C9" s="13" t="str">
        <x:v>Order flow and participant interpretation</x:v>
      </x:c>
      <x:c r="D9" s="13" t="str">
        <x:v>How are short covering and accumulation distinguished?</x:v>
      </x:c>
      <x:c r="E9" s="13" t="str">
        <x:v>PROVISIONAL RESEARCH QUESTION — not a course chapter</x:v>
      </x:c>
    </x:row>
    <x:row r="10" ht="15" hidden="0" customHeight="1">
      <x:c r="A10" s="13" t="str">
        <x:v>F03-Q3</x:v>
      </x:c>
      <x:c r="B10" s="13" t="str">
        <x:v>F03</x:v>
      </x:c>
      <x:c r="C10" s="13" t="str">
        <x:v>Order flow and participant interpretation</x:v>
      </x:c>
      <x:c r="D10" s="13" t="str">
        <x:v>Which interpretations depend on charts or inferred motives?</x:v>
      </x:c>
      <x:c r="E10" s="13" t="str">
        <x:v>PROVISIONAL RESEARCH QUESTION — not a course chapter</x:v>
      </x:c>
    </x:row>
    <x:row r="11" ht="15" hidden="0" customHeight="1">
      <x:c r="A11" s="13" t="str">
        <x:v>F04-Q1</x:v>
      </x:c>
      <x:c r="B11" s="13" t="str">
        <x:v>F04</x:v>
      </x:c>
      <x:c r="C11" s="13" t="str">
        <x:v>Stock selection and scanning</x:v>
      </x:c>
      <x:c r="D11" s="13" t="str">
        <x:v>How does the speaker narrow market, sector, industry and stock universes?</x:v>
      </x:c>
      <x:c r="E11" s="13" t="str">
        <x:v>PROVISIONAL RESEARCH QUESTION — not a course chapter</x:v>
      </x:c>
    </x:row>
    <x:row r="12" ht="15" hidden="0" customHeight="1">
      <x:c r="A12" s="13" t="str">
        <x:v>F04-Q2</x:v>
      </x:c>
      <x:c r="B12" s="13" t="str">
        <x:v>F04</x:v>
      </x:c>
      <x:c r="C12" s="13" t="str">
        <x:v>Stock selection and scanning</x:v>
      </x:c>
      <x:c r="D12" s="13" t="str">
        <x:v>Which liquidity and volatility filters are personal choices?</x:v>
      </x:c>
      <x:c r="E12" s="13" t="str">
        <x:v>PROVISIONAL RESEARCH QUESTION — not a course chapter</x:v>
      </x:c>
    </x:row>
    <x:row r="13" ht="15" hidden="0" customHeight="1">
      <x:c r="A13" s="13" t="str">
        <x:v>F04-Q3</x:v>
      </x:c>
      <x:c r="B13" s="13" t="str">
        <x:v>F04</x:v>
      </x:c>
      <x:c r="C13" s="13" t="str">
        <x:v>Stock selection and scanning</x:v>
      </x:c>
      <x:c r="D13" s="13" t="str">
        <x:v>How are relative strength and weakness used?</x:v>
      </x:c>
      <x:c r="E13" s="13" t="str">
        <x:v>PROVISIONAL RESEARCH QUESTION — not a course chapter</x:v>
      </x:c>
    </x:row>
    <x:row r="14" ht="15" hidden="0" customHeight="1">
      <x:c r="A14" s="13" t="str">
        <x:v>F05-Q1</x:v>
      </x:c>
      <x:c r="B14" s="13" t="str">
        <x:v>F05</x:v>
      </x:c>
      <x:c r="C14" s="13" t="str">
        <x:v>Price structure and entry location</x:v>
      </x:c>
      <x:c r="D14" s="13" t="str">
        <x:v>What constitutes an optimal entry in context?</x:v>
      </x:c>
      <x:c r="E14" s="13" t="str">
        <x:v>PROVISIONAL RESEARCH QUESTION — not a course chapter</x:v>
      </x:c>
    </x:row>
    <x:row r="15" ht="15" hidden="0" customHeight="1">
      <x:c r="A15" s="13" t="str">
        <x:v>F05-Q2</x:v>
      </x:c>
      <x:c r="B15" s="13" t="str">
        <x:v>F05</x:v>
      </x:c>
      <x:c r="C15" s="13" t="str">
        <x:v>Price structure and entry location</x:v>
      </x:c>
      <x:c r="D15" s="13" t="str">
        <x:v>What confirms or invalidates the entry argument?</x:v>
      </x:c>
      <x:c r="E15" s="13" t="str">
        <x:v>PROVISIONAL RESEARCH QUESTION — not a course chapter</x:v>
      </x:c>
    </x:row>
    <x:row r="16" ht="15" hidden="0" customHeight="1">
      <x:c r="A16" s="13" t="str">
        <x:v>F05-Q3</x:v>
      </x:c>
      <x:c r="B16" s="13" t="str">
        <x:v>F05</x:v>
      </x:c>
      <x:c r="C16" s="13" t="str">
        <x:v>Price structure and entry location</x:v>
      </x:c>
      <x:c r="D16" s="13" t="str">
        <x:v>Which chart examples illustrate a principle rather than define a rule?</x:v>
      </x:c>
      <x:c r="E16" s="13" t="str">
        <x:v>PROVISIONAL RESEARCH QUESTION — not a course chapter</x:v>
      </x:c>
    </x:row>
    <x:row r="17" ht="15" hidden="0" customHeight="1">
      <x:c r="A17" s="13" t="str">
        <x:v>F06-Q1</x:v>
      </x:c>
      <x:c r="B17" s="13" t="str">
        <x:v>F06</x:v>
      </x:c>
      <x:c r="C17" s="13" t="str">
        <x:v>Trade expectation and conviction</x:v>
      </x:c>
      <x:c r="D17" s="13" t="str">
        <x:v>How does the speaker build an argument for follow-through?</x:v>
      </x:c>
      <x:c r="E17" s="13" t="str">
        <x:v>PROVISIONAL RESEARCH QUESTION — not a course chapter</x:v>
      </x:c>
    </x:row>
    <x:row r="18" ht="15" hidden="0" customHeight="1">
      <x:c r="A18" s="13" t="str">
        <x:v>F06-Q2</x:v>
      </x:c>
      <x:c r="B18" s="13" t="str">
        <x:v>F06</x:v>
      </x:c>
      <x:c r="C18" s="13" t="str">
        <x:v>Trade expectation and conviction</x:v>
      </x:c>
      <x:c r="D18" s="13" t="str">
        <x:v>How do context and location change expectation?</x:v>
      </x:c>
      <x:c r="E18" s="13" t="str">
        <x:v>PROVISIONAL RESEARCH QUESTION — not a course chapter</x:v>
      </x:c>
    </x:row>
    <x:row r="19" ht="15" hidden="0" customHeight="1">
      <x:c r="A19" s="13" t="str">
        <x:v>F06-Q3</x:v>
      </x:c>
      <x:c r="B19" s="13" t="str">
        <x:v>F06</x:v>
      </x:c>
      <x:c r="C19" s="13" t="str">
        <x:v>Trade expectation and conviction</x:v>
      </x:c>
      <x:c r="D19" s="13" t="str">
        <x:v>What limits or conditions qualify conviction?</x:v>
      </x:c>
      <x:c r="E19" s="13" t="str">
        <x:v>PROVISIONAL RESEARCH QUESTION — not a course chapter</x:v>
      </x:c>
    </x:row>
    <x:row r="20" ht="15" hidden="0" customHeight="1">
      <x:c r="A20" s="13" t="str">
        <x:v>F07-Q1</x:v>
      </x:c>
      <x:c r="B20" s="13" t="str">
        <x:v>F07</x:v>
      </x:c>
      <x:c r="C20" s="13" t="str">
        <x:v>Risk and position sizing</x:v>
      </x:c>
      <x:c r="D20" s="13" t="str">
        <x:v>How are planned risk and share size determined?</x:v>
      </x:c>
      <x:c r="E20" s="13" t="str">
        <x:v>PROVISIONAL RESEARCH QUESTION — not a course chapter</x:v>
      </x:c>
    </x:row>
    <x:row r="21" ht="15" hidden="0" customHeight="1">
      <x:c r="A21" s="13" t="str">
        <x:v>F07-Q2</x:v>
      </x:c>
      <x:c r="B21" s="13" t="str">
        <x:v>F07</x:v>
      </x:c>
      <x:c r="C21" s="13" t="str">
        <x:v>Risk and position sizing</x:v>
      </x:c>
      <x:c r="D21" s="13" t="str">
        <x:v>How do opportunity quality and entry distance affect exposure?</x:v>
      </x:c>
      <x:c r="E21" s="13" t="str">
        <x:v>PROVISIONAL RESEARCH QUESTION — not a course chapter</x:v>
      </x:c>
    </x:row>
    <x:row r="22" ht="15" hidden="0" customHeight="1">
      <x:c r="A22" s="13" t="str">
        <x:v>F07-Q3</x:v>
      </x:c>
      <x:c r="B22" s="13" t="str">
        <x:v>F07</x:v>
      </x:c>
      <x:c r="C22" s="13" t="str">
        <x:v>Risk and position sizing</x:v>
      </x:c>
      <x:c r="D22" s="13" t="str">
        <x:v>When is reducing size preferred to full liquidation?</x:v>
      </x:c>
      <x:c r="E22" s="13" t="str">
        <x:v>PROVISIONAL RESEARCH QUESTION — not a course chapter</x:v>
      </x:c>
    </x:row>
    <x:row r="23" ht="15" hidden="0" customHeight="1">
      <x:c r="A23" s="13" t="str">
        <x:v>F08-Q1</x:v>
      </x:c>
      <x:c r="B23" s="13" t="str">
        <x:v>F08</x:v>
      </x:c>
      <x:c r="C23" s="13" t="str">
        <x:v>Position building and exits</x:v>
      </x:c>
      <x:c r="D23" s="13" t="str">
        <x:v>When does the speaker add, scale down or rebuild?</x:v>
      </x:c>
      <x:c r="E23" s="13" t="str">
        <x:v>PROVISIONAL RESEARCH QUESTION — not a course chapter</x:v>
      </x:c>
    </x:row>
    <x:row r="24" ht="15" hidden="0" customHeight="1">
      <x:c r="A24" s="13" t="str">
        <x:v>F08-Q2</x:v>
      </x:c>
      <x:c r="B24" s="13" t="str">
        <x:v>F08</x:v>
      </x:c>
      <x:c r="C24" s="13" t="str">
        <x:v>Position building and exits</x:v>
      </x:c>
      <x:c r="D24" s="13" t="str">
        <x:v>When should a position be held longer or exited sooner?</x:v>
      </x:c>
      <x:c r="E24" s="13" t="str">
        <x:v>PROVISIONAL RESEARCH QUESTION — not a course chapter</x:v>
      </x:c>
    </x:row>
    <x:row r="25" ht="15" hidden="0" customHeight="1">
      <x:c r="A25" s="13" t="str">
        <x:v>F08-Q3</x:v>
      </x:c>
      <x:c r="B25" s="13" t="str">
        <x:v>F08</x:v>
      </x:c>
      <x:c r="C25" s="13" t="str">
        <x:v>Position building and exits</x:v>
      </x:c>
      <x:c r="D25" s="13" t="str">
        <x:v>What conditions make adding inappropriate?</x:v>
      </x:c>
      <x:c r="E25" s="13" t="str">
        <x:v>PROVISIONAL RESEARCH QUESTION — not a course chapter</x:v>
      </x:c>
    </x:row>
    <x:row r="26" ht="15" hidden="0" customHeight="1">
      <x:c r="A26" s="13" t="str">
        <x:v>F09-Q1</x:v>
      </x:c>
      <x:c r="B26" s="13" t="str">
        <x:v>F09</x:v>
      </x:c>
      <x:c r="C26" s="13" t="str">
        <x:v>Earnings and catalysts</x:v>
      </x:c>
      <x:c r="D26" s="13" t="str">
        <x:v>What must be checked before an earnings-related trade?</x:v>
      </x:c>
      <x:c r="E26" s="13" t="str">
        <x:v>PROVISIONAL RESEARCH QUESTION — not a course chapter</x:v>
      </x:c>
    </x:row>
    <x:row r="27" ht="15" hidden="0" customHeight="1">
      <x:c r="A27" s="13" t="str">
        <x:v>F09-Q2</x:v>
      </x:c>
      <x:c r="B27" s="13" t="str">
        <x:v>F09</x:v>
      </x:c>
      <x:c r="C27" s="13" t="str">
        <x:v>Earnings and catalysts</x:v>
      </x:c>
      <x:c r="D27" s="13" t="str">
        <x:v>Why does the speaker prefer before- or after-release trading?</x:v>
      </x:c>
      <x:c r="E27" s="13" t="str">
        <x:v>PROVISIONAL RESEARCH QUESTION — not a course chapter</x:v>
      </x:c>
    </x:row>
    <x:row r="28" ht="15" hidden="0" customHeight="1">
      <x:c r="A28" s="13" t="str">
        <x:v>F09-Q3</x:v>
      </x:c>
      <x:c r="B28" s="13" t="str">
        <x:v>F09</x:v>
      </x:c>
      <x:c r="C28" s="13" t="str">
        <x:v>Earnings and catalysts</x:v>
      </x:c>
      <x:c r="D28" s="13" t="str">
        <x:v>How are catalysts combined with price structure?</x:v>
      </x:c>
      <x:c r="E28" s="13" t="str">
        <x:v>PROVISIONAL RESEARCH QUESTION — not a course chapter</x:v>
      </x:c>
    </x:row>
    <x:row r="29" ht="15" hidden="0" customHeight="1">
      <x:c r="A29" s="13" t="str">
        <x:v>F10-Q1</x:v>
      </x:c>
      <x:c r="B29" s="13" t="str">
        <x:v>F10</x:v>
      </x:c>
      <x:c r="C29" s="13" t="str">
        <x:v>Review, psychology and learning</x:v>
      </x:c>
      <x:c r="D29" s="13" t="str">
        <x:v>What learning sequence does the speaker propose?</x:v>
      </x:c>
      <x:c r="E29" s="13" t="str">
        <x:v>PROVISIONAL RESEARCH QUESTION — not a course chapter</x:v>
      </x:c>
    </x:row>
    <x:row r="30" ht="15" hidden="0" customHeight="1">
      <x:c r="A30" s="13" t="str">
        <x:v>F10-Q2</x:v>
      </x:c>
      <x:c r="B30" s="13" t="str">
        <x:v>F10</x:v>
      </x:c>
      <x:c r="C30" s="13" t="str">
        <x:v>Review, psychology and learning</x:v>
      </x:c>
      <x:c r="D30" s="13" t="str">
        <x:v>How does feedback change trading practice?</x:v>
      </x:c>
      <x:c r="E30" s="13" t="str">
        <x:v>PROVISIONAL RESEARCH QUESTION — not a course chapter</x:v>
      </x:c>
    </x:row>
    <x:row r="31" ht="15" hidden="0" customHeight="1">
      <x:c r="A31" s="13" t="str">
        <x:v>F10-Q3</x:v>
      </x:c>
      <x:c r="B31" s="13" t="str">
        <x:v>F10</x:v>
      </x:c>
      <x:c r="C31" s="13" t="str">
        <x:v>Review, psychology and learning</x:v>
      </x:c>
      <x:c r="D31" s="13" t="str">
        <x:v>Which statements are motivation or promotion rather than developed instruction?</x:v>
      </x:c>
      <x:c r="E31" s="13" t="str">
        <x:v>PROVISIONAL RESEARCH QUESTION — not a course chapter</x:v>
      </x:c>
    </x:row>
    <x:row r="32" ht="15" hidden="0" customHeight="1">
      <x:c r="A32" s="13" t="str">
        <x:v>F11-Q1</x:v>
      </x:c>
      <x:c r="B32" s="13" t="str">
        <x:v>F11</x:v>
      </x:c>
      <x:c r="C32" s="13" t="str">
        <x:v>Options strategies and risks</x:v>
      </x:c>
      <x:c r="D32" s="13" t="str">
        <x:v>What risks distinguish naked calls, puts and spreads?</x:v>
      </x:c>
      <x:c r="E32" s="13" t="str">
        <x:v>PROVISIONAL RESEARCH QUESTION — not a course chapter</x:v>
      </x:c>
    </x:row>
    <x:row r="33" ht="15" hidden="0" customHeight="1">
      <x:c r="A33" s="13" t="str">
        <x:v>F11-Q2</x:v>
      </x:c>
      <x:c r="B33" s="13" t="str">
        <x:v>F11</x:v>
      </x:c>
      <x:c r="C33" s="13" t="str">
        <x:v>Options strategies and risks</x:v>
      </x:c>
      <x:c r="D33" s="13" t="str">
        <x:v>Which adjustments are personal practices rather than prescriptions?</x:v>
      </x:c>
      <x:c r="E33" s="13" t="str">
        <x:v>PROVISIONAL RESEARCH QUESTION — not a course chapter</x:v>
      </x:c>
    </x:row>
    <x:row r="34" ht="15" hidden="0" customHeight="1">
      <x:c r="A34" s="13" t="str">
        <x:v>F11-Q3</x:v>
      </x:c>
      <x:c r="B34" s="13" t="str">
        <x:v>F11</x:v>
      </x:c>
      <x:c r="C34" s="13" t="str">
        <x:v>Options strategies and risks</x:v>
      </x:c>
      <x:c r="D34" s="13" t="str">
        <x:v>How do capital requirements and stock ownership affect strategy choice?</x:v>
      </x:c>
      <x:c r="E34" s="13" t="str">
        <x:v>PROVISIONAL RESEARCH QUESTION — not a course chapter</x:v>
      </x:c>
    </x:row>
    <x:row r="35" ht="15" hidden="0" customHeight="1">
      <x:c r="A35" s="13" t="str">
        <x:v>F12-Q1</x:v>
      </x:c>
      <x:c r="B35" s="13" t="str">
        <x:v>F12</x:v>
      </x:c>
      <x:c r="C35" s="13" t="str">
        <x:v>Trading plan and available resources</x:v>
      </x:c>
      <x:c r="D35" s="13" t="str">
        <x:v>How does planning account for skills, experience, capital and screen time?</x:v>
      </x:c>
      <x:c r="E35" s="13" t="str">
        <x:v>PROVISIONAL RESEARCH QUESTION — not a course chapter</x:v>
      </x:c>
    </x:row>
    <x:row r="36" ht="15" hidden="0" customHeight="1">
      <x:c r="A36" s="13" t="str">
        <x:v>F12-Q2</x:v>
      </x:c>
      <x:c r="B36" s="13" t="str">
        <x:v>F12</x:v>
      </x:c>
      <x:c r="C36" s="13" t="str">
        <x:v>Trading plan and available resources</x:v>
      </x:c>
      <x:c r="D36" s="13" t="str">
        <x:v>What decision prerequisites belong in the trading plan?</x:v>
      </x:c>
      <x:c r="E36" s="13" t="str">
        <x:v>PROVISIONAL RESEARCH QUESTION — not a course chapter</x:v>
      </x:c>
    </x:row>
    <x:row r="37" ht="15" hidden="0" customHeight="1">
      <x:c r="A37" s="13" t="str">
        <x:v>F12-Q3</x:v>
      </x:c>
      <x:c r="B37" s="13" t="str">
        <x:v>F12</x:v>
      </x:c>
      <x:c r="C37" s="13" t="str">
        <x:v>Trading plan and available resources</x:v>
      </x:c>
      <x:c r="D37" s="13" t="str">
        <x:v>How does the speaker manage the number of ideas being considered?</x:v>
      </x:c>
      <x:c r="E37" s="13" t="str">
        <x:v>PROVISIONAL RESEARCH QUESTION — not a course chapter</x:v>
      </x:c>
    </x:row>
  </x:sheetData>
  <x:pageMargins left="0.7" right="0.7" top="0.75" bottom="0.75" header="0.3" footer="0.3"/>
  <x:tableParts count="1">
    <x:tablePart xmlns:r="http://schemas.openxmlformats.org/officeDocument/2006/relationships" r:id="Rf3f621f562ac428d"/>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60" hidden="0" customWidth="1"/>
    <x:col min="3" max="3" width="16" hidden="0" customWidth="1"/>
    <x:col min="4" max="4" width="48" hidden="0" customWidth="1"/>
    <x:col min="5" max="5" width="25" hidden="0" customWidth="1"/>
    <x:col min="6" max="6" width="28" hidden="0" customWidth="1"/>
    <x:col min="7" max="7" width="35" hidden="0" customWidth="1"/>
    <x:col min="8" max="8" width="45" hidden="0" customWidth="1"/>
    <x:col min="9" max="9" width="80" hidden="0" customWidth="1"/>
    <x:col min="10" max="10" width="60" hidden="0" customWidth="1"/>
    <x:col min="11" max="11" width="75" hidden="0" customWidth="1"/>
    <x:col min="12" max="12" width="75" hidden="0" customWidth="1"/>
    <x:col min="13" max="13" width="45" hidden="0" customWidth="1"/>
    <x:col min="14" max="14" width="14" hidden="0" customWidth="1"/>
    <x:col min="15" max="15" width="14" hidden="0" customWidth="1"/>
    <x:col min="16" max="16" width="22" hidden="0" customWidth="1"/>
    <x:col min="17" max="17" width="35" hidden="0" customWidth="1"/>
    <x:col min="18" max="18" width="32" hidden="0" customWidth="1"/>
    <x:col min="19" max="19" width="25" hidden="0" customWidth="1"/>
    <x:col min="20" max="20" width="75" hidden="0" customWidth="1"/>
  </x:cols>
  <x:sheetData>
    <x:row r="1" ht="36" customHeight="1">
      <x:c r="A1" s="12" t="str">
        <x:v>Video ID</x:v>
      </x:c>
      <x:c r="B1" s="12" t="str">
        <x:v>Title</x:v>
      </x:c>
      <x:c r="C1" s="12" t="str">
        <x:v>Upload date</x:v>
      </x:c>
      <x:c r="D1" s="12" t="str">
        <x:v>Video URL</x:v>
      </x:c>
      <x:c r="E1" s="12" t="str">
        <x:v>Complete transcript</x:v>
      </x:c>
      <x:c r="F1" s="12" t="str">
        <x:v>Speaker evidence (inherited)</x:v>
      </x:c>
      <x:c r="G1" s="12" t="str">
        <x:v>Content format</x:v>
      </x:c>
      <x:c r="H1" s="12" t="str">
        <x:v>Main subject</x:v>
      </x:c>
      <x:c r="I1" s="12" t="str">
        <x:v>Whole-video assessment</x:v>
      </x:c>
      <x:c r="J1" s="12" t="str">
        <x:v>Substantial subjects</x:v>
      </x:c>
      <x:c r="K1" s="12" t="str">
        <x:v>Context / promotion</x:v>
      </x:c>
      <x:c r="L1" s="12" t="str">
        <x:v>Limits / missing visuals</x:v>
      </x:c>
      <x:c r="M1" s="12" t="str">
        <x:v>Whole-video review status</x:v>
      </x:c>
      <x:c r="N1" s="12" t="str">
        <x:v>Segments</x:v>
      </x:c>
      <x:c r="O1" s="12" t="str">
        <x:v>Words</x:v>
      </x:c>
      <x:c r="P1" s="12" t="str">
        <x:v>Duration (seconds)</x:v>
      </x:c>
      <x:c r="Q1" s="12" t="str">
        <x:v>Caption duration check</x:v>
      </x:c>
      <x:c r="R1" s="12" t="str">
        <x:v>Duplicate source family</x:v>
      </x:c>
      <x:c r="S1" s="12" t="str">
        <x:v>Earlier evidence occurrences</x:v>
      </x:c>
      <x:c r="T1" s="12" t="str">
        <x:v>Source SHA-256</x:v>
      </x:c>
    </x:row>
    <x:row r="2" ht="15" hidden="0" customHeight="1">
      <x:c r="A2" s="13" t="str">
        <x:v>-P-Fv5IBxok</x:v>
      </x:c>
      <x:c r="B2" s="13" t="str">
        <x:v>Stock Trading Setups</x:v>
      </x:c>
      <x:c r="C2" s="14" t="d">
        <x:v>2020-06-19T00:00:00.000Z</x:v>
      </x:c>
      <x:c r="D2" s="18" t="e">
        <x:f>HYPERLINK("https://www.youtube.com/watch?v=-P-Fv5IBxok","Watch video")</x:f>
        <x:v>HYPERLINK is not implemented. linkLocation=https://www.youtube.com/watch?v=-P-Fv5IBxok, friendlyName=Watch video</x:v>
      </x:c>
      <x:c r="E2" s="18" t="e">
        <x:f>HYPERLINK("transcripts/-P-Fv5IBxok.html","Complete transcript")</x:f>
        <x:v>HYPERLINK is not implemented. linkLocation=transcripts/-P-Fv5IBxok.html, friendlyName=Complete transcript</x:v>
      </x:c>
      <x:c r="F2" s="13" t="str">
        <x:v>PETE_EXPLICIT</x:v>
      </x:c>
      <x:c r="G2" s="17" t="str">
        <x:v>UNREVIEWED</x:v>
      </x:c>
      <x:c r="H2" s="17" t="str"/>
      <x:c r="I2" s="17" t="str"/>
      <x:c r="J2" s="17" t="str"/>
      <x:c r="K2" s="17" t="str"/>
      <x:c r="L2" s="17" t="str"/>
      <x:c r="M2" s="17" t="str">
        <x:v>PENDING WHOLE-VIDEO REVIEW</x:v>
      </x:c>
      <x:c r="N2" s="15" t="n">
        <x:v>374</x:v>
      </x:c>
      <x:c r="O2" s="15" t="n">
        <x:v>2728</x:v>
      </x:c>
      <x:c r="P2" s="15" t="n">
        <x:v>871</x:v>
      </x:c>
      <x:c r="Q2" s="13" t="str">
        <x:v>NO_LARGE_TAIL_GAP</x:v>
      </x:c>
      <x:c r="R2" s="13" t="str"/>
      <x:c r="S2" s="16" t="n">
        <x:v>0</x:v>
      </x:c>
      <x:c r="T2" s="13" t="str">
        <x:v>ea60f249e88bf2800c810e4087328b26fc9a053d6b53c248ad6b36c694340e7a</x:v>
      </x:c>
    </x:row>
    <x:row r="3" ht="15" hidden="0" customHeight="1">
      <x:c r="A3" s="13" t="str">
        <x:v>-_aZWxubE0c</x:v>
      </x:c>
      <x:c r="B3" s="13" t="str">
        <x:v>Options Trading Insight: What Is One of The Biggest Mistakes Traders Make?</x:v>
      </x:c>
      <x:c r="C3" s="14" t="d">
        <x:v>2024-07-09T00:00:00.000Z</x:v>
      </x:c>
      <x:c r="D3" s="18" t="e">
        <x:f>HYPERLINK("https://www.youtube.com/watch?v=-_aZWxubE0c","Watch video")</x:f>
        <x:v>HYPERLINK is not implemented. linkLocation=https://www.youtube.com/watch?v=-_aZWxubE0c, friendlyName=Watch video</x:v>
      </x:c>
      <x:c r="E3" s="18" t="e">
        <x:f>HYPERLINK("transcripts/-_aZWxubE0c.html","Complete transcript")</x:f>
        <x:v>HYPERLINK is not implemented. linkLocation=transcripts/-_aZWxubE0c.html, friendlyName=Complete transcript</x:v>
      </x:c>
      <x:c r="F3" s="13" t="str">
        <x:v>UNKNOWN_REQUIRES_REVIEW</x:v>
      </x:c>
      <x:c r="G3" s="17" t="str">
        <x:v>UNREVIEWED</x:v>
      </x:c>
      <x:c r="H3" s="17" t="str"/>
      <x:c r="I3" s="17" t="str"/>
      <x:c r="J3" s="17" t="str"/>
      <x:c r="K3" s="17" t="str"/>
      <x:c r="L3" s="17" t="str"/>
      <x:c r="M3" s="17" t="str">
        <x:v>PENDING WHOLE-VIDEO REVIEW</x:v>
      </x:c>
      <x:c r="N3" s="15" t="n">
        <x:v>50</x:v>
      </x:c>
      <x:c r="O3" s="15" t="n">
        <x:v>370</x:v>
      </x:c>
      <x:c r="P3" s="15" t="n">
        <x:v>102</x:v>
      </x:c>
      <x:c r="Q3" s="13" t="str">
        <x:v>NO_LARGE_TAIL_GAP</x:v>
      </x:c>
      <x:c r="R3" s="13" t="str"/>
      <x:c r="S3" s="16" t="n">
        <x:v>0</x:v>
      </x:c>
      <x:c r="T3" s="13" t="str">
        <x:v>44bed6a67a5692cca04f467e046d37e21a2437738765f4ace9c982f588cb2df0</x:v>
      </x:c>
    </x:row>
    <x:row r="4" ht="24" hidden="0" customHeight="1">
      <x:c r="A4" s="13" t="str">
        <x:v>-aLSiEugS1A</x:v>
      </x:c>
      <x:c r="B4" s="13" t="str">
        <x:v>Stock Trading Pro Tip: Check Earnings</x:v>
      </x:c>
      <x:c r="C4" s="14" t="d">
        <x:v>2023-03-02T00:00:00.000Z</x:v>
      </x:c>
      <x:c r="D4" s="18" t="e">
        <x:f>HYPERLINK("https://www.youtube.com/watch?v=-aLSiEugS1A","Watch video")</x:f>
        <x:v>HYPERLINK is not implemented. linkLocation=https://www.youtube.com/watch?v=-aLSiEugS1A, friendlyName=Watch video</x:v>
      </x:c>
      <x:c r="E4" s="18" t="e">
        <x:f>HYPERLINK("transcripts/-aLSiEugS1A.html","Complete transcript")</x:f>
        <x:v>HYPERLINK is not implemented. linkLocation=transcripts/-aLSiEugS1A.html, friendlyName=Complete transcript</x:v>
      </x:c>
      <x:c r="F4" s="13" t="str">
        <x:v>UNKNOWN_REQUIRES_REVIEW</x:v>
      </x:c>
      <x:c r="G4" s="17" t="str">
        <x:v>Market update with teaching</x:v>
      </x:c>
      <x:c r="H4" s="17" t="str">
        <x:v>Earnings and volatility contraction</x:v>
      </x:c>
      <x:c r="I4" s="17" t="str">
        <x:v>Explains a watch-list candidate around earnings; prefers waiting for release and digestion rather than guessing the reaction.</x:v>
      </x:c>
      <x:c r="J4" s="17" t="str">
        <x:v>Earnings; price structure; watch-list selection</x:v>
      </x:c>
      <x:c r="K4" s="17" t="str">
        <x:v>Chart-specific stock example; daily newsletter promotion; speaker not established by available transcript.</x:v>
      </x:c>
      <x:c r="L4" s="17" t="str">
        <x:v>Visual check needed for contraction pattern; preference is not a universal earnings rule.</x:v>
      </x:c>
      <x:c r="M4" s="17" t="str">
        <x:v>WHOLE TRANSCRIPT READ — visuals pending</x:v>
      </x:c>
      <x:c r="N4" s="15" t="n">
        <x:v>55</x:v>
      </x:c>
      <x:c r="O4" s="15" t="n">
        <x:v>393</x:v>
      </x:c>
      <x:c r="P4" s="15" t="n">
        <x:v>107</x:v>
      </x:c>
      <x:c r="Q4" s="13" t="str">
        <x:v>NO_LARGE_TAIL_GAP</x:v>
      </x:c>
      <x:c r="R4" s="13" t="str"/>
      <x:c r="S4" s="16" t="n">
        <x:v>3</x:v>
      </x:c>
      <x:c r="T4" s="13" t="str">
        <x:v>04e2e0f12e1a85e29c76a30fa358eaed10f640f3f329e8cdc83a5ec483580627</x:v>
      </x:c>
    </x:row>
    <x:row r="5" ht="15" hidden="0" customHeight="1">
      <x:c r="A5" s="13" t="str">
        <x:v>-eVRJS-PaFY</x:v>
      </x:c>
      <x:c r="B5" s="13" t="str">
        <x:v>How to Hold Goood Trades Longer |  Improve Conviction</x:v>
      </x:c>
      <x:c r="C5" s="14" t="d">
        <x:v>2015-10-27T00:00:00.000Z</x:v>
      </x:c>
      <x:c r="D5" s="18" t="e">
        <x:f>HYPERLINK("https://www.youtube.com/watch?v=-eVRJS-PaFY","Watch video")</x:f>
        <x:v>HYPERLINK is not implemented. linkLocation=https://www.youtube.com/watch?v=-eVRJS-PaFY, friendlyName=Watch video</x:v>
      </x:c>
      <x:c r="E5" s="18" t="e">
        <x:f>HYPERLINK("transcripts/-eVRJS-PaFY.html","Complete transcript")</x:f>
        <x:v>HYPERLINK is not implemented. linkLocation=transcripts/-eVRJS-PaFY.html, friendlyName=Complete transcript</x:v>
      </x:c>
      <x:c r="F5" s="13" t="str">
        <x:v>UNKNOWN_REQUIRES_REVIEW</x:v>
      </x:c>
      <x:c r="G5" s="17" t="str">
        <x:v>UNREVIEWED</x:v>
      </x:c>
      <x:c r="H5" s="17" t="str"/>
      <x:c r="I5" s="17" t="str"/>
      <x:c r="J5" s="17" t="str"/>
      <x:c r="K5" s="17" t="str"/>
      <x:c r="L5" s="17" t="str"/>
      <x:c r="M5" s="17" t="str">
        <x:v>PENDING WHOLE-VIDEO REVIEW</x:v>
      </x:c>
      <x:c r="N5" s="15" t="n">
        <x:v>431</x:v>
      </x:c>
      <x:c r="O5" s="15" t="n">
        <x:v>3135</x:v>
      </x:c>
      <x:c r="P5" s="15" t="n">
        <x:v>925</x:v>
      </x:c>
      <x:c r="Q5" s="13" t="str">
        <x:v>NO_LARGE_TAIL_GAP</x:v>
      </x:c>
      <x:c r="R5" s="13" t="str"/>
      <x:c r="S5" s="16" t="n">
        <x:v>0</x:v>
      </x:c>
      <x:c r="T5" s="13" t="str">
        <x:v>fb09143865217cfda7721d8ca74c87967ed2eeabf5ca06c0ad8f833116ff0d5b</x:v>
      </x:c>
    </x:row>
    <x:row r="6" ht="15" hidden="0" customHeight="1">
      <x:c r="A6" s="13" t="str">
        <x:v>-efc0YvTORA</x:v>
      </x:c>
      <x:c r="B6" s="13" t="str">
        <x:v>SBUX Price Target Raised | Best Stock Picks Today 12-10-20</x:v>
      </x:c>
      <x:c r="C6" s="14" t="d">
        <x:v>2020-12-10T00:00:00.000Z</x:v>
      </x:c>
      <x:c r="D6" s="18" t="e">
        <x:f>HYPERLINK("https://www.youtube.com/watch?v=-efc0YvTORA","Watch video")</x:f>
        <x:v>HYPERLINK is not implemented. linkLocation=https://www.youtube.com/watch?v=-efc0YvTORA, friendlyName=Watch video</x:v>
      </x:c>
      <x:c r="E6" s="18" t="e">
        <x:f>HYPERLINK("transcripts/-efc0YvTORA.html","Complete transcript")</x:f>
        <x:v>HYPERLINK is not implemented. linkLocation=transcripts/-efc0YvTORA.html, friendlyName=Complete transcript</x:v>
      </x:c>
      <x:c r="F6" s="13" t="str">
        <x:v>PETE_EXPLICIT</x:v>
      </x:c>
      <x:c r="G6" s="17" t="str">
        <x:v>UNREVIEWED</x:v>
      </x:c>
      <x:c r="H6" s="17" t="str"/>
      <x:c r="I6" s="17" t="str"/>
      <x:c r="J6" s="17" t="str"/>
      <x:c r="K6" s="17" t="str"/>
      <x:c r="L6" s="17" t="str"/>
      <x:c r="M6" s="17" t="str">
        <x:v>PENDING WHOLE-VIDEO REVIEW</x:v>
      </x:c>
      <x:c r="N6" s="15" t="n">
        <x:v>716</x:v>
      </x:c>
      <x:c r="O6" s="15" t="n">
        <x:v>4458</x:v>
      </x:c>
      <x:c r="P6" s="15" t="n">
        <x:v>1265</x:v>
      </x:c>
      <x:c r="Q6" s="13" t="str">
        <x:v>NO_LARGE_TAIL_GAP</x:v>
      </x:c>
      <x:c r="R6" s="13" t="str"/>
      <x:c r="S6" s="16" t="n">
        <x:v>0</x:v>
      </x:c>
      <x:c r="T6" s="13" t="str">
        <x:v>102147467ef681a534ae467a05a3ebc2cb0da9339fa9b309a4c760d8f581de6c</x:v>
      </x:c>
    </x:row>
    <x:row r="7" ht="15" hidden="0" customHeight="1">
      <x:c r="A7" s="13" t="str">
        <x:v>-fyv6DcfyL0</x:v>
      </x:c>
      <x:c r="B7" s="13" t="str">
        <x:v>Day Trading Coronavirus Volatility | Stocks for Breakfast 3.9.20</x:v>
      </x:c>
      <x:c r="C7" s="14" t="d">
        <x:v>2020-03-09T00:00:00.000Z</x:v>
      </x:c>
      <x:c r="D7" s="18" t="e">
        <x:f>HYPERLINK("https://www.youtube.com/watch?v=-fyv6DcfyL0","Watch video")</x:f>
        <x:v>HYPERLINK is not implemented. linkLocation=https://www.youtube.com/watch?v=-fyv6DcfyL0, friendlyName=Watch video</x:v>
      </x:c>
      <x:c r="E7" s="18" t="e">
        <x:f>HYPERLINK("transcripts/-fyv6DcfyL0.html","Complete transcript")</x:f>
        <x:v>HYPERLINK is not implemented. linkLocation=transcripts/-fyv6DcfyL0.html, friendlyName=Complete transcript</x:v>
      </x:c>
      <x:c r="F7" s="13" t="str">
        <x:v>UNKNOWN_REQUIRES_REVIEW</x:v>
      </x:c>
      <x:c r="G7" s="17" t="str">
        <x:v>UNREVIEWED</x:v>
      </x:c>
      <x:c r="H7" s="17" t="str"/>
      <x:c r="I7" s="17" t="str"/>
      <x:c r="J7" s="17" t="str"/>
      <x:c r="K7" s="17" t="str"/>
      <x:c r="L7" s="17" t="str"/>
      <x:c r="M7" s="17" t="str">
        <x:v>PENDING WHOLE-VIDEO REVIEW</x:v>
      </x:c>
      <x:c r="N7" s="15" t="n">
        <x:v>371</x:v>
      </x:c>
      <x:c r="O7" s="15" t="n">
        <x:v>2699</x:v>
      </x:c>
      <x:c r="P7" s="15" t="n">
        <x:v>833</x:v>
      </x:c>
      <x:c r="Q7" s="13" t="str">
        <x:v>NO_LARGE_TAIL_GAP</x:v>
      </x:c>
      <x:c r="R7" s="13" t="str"/>
      <x:c r="S7" s="16" t="n">
        <x:v>0</x:v>
      </x:c>
      <x:c r="T7" s="13" t="str">
        <x:v>e9716b68b78e85d298b5395a95523277fc4e3c2c606262a41a9e0ce0876a96e4</x:v>
      </x:c>
    </x:row>
    <x:row r="8" ht="15" hidden="0" customHeight="1">
      <x:c r="A8" s="13" t="str">
        <x:v>-j5aX6WM8Es</x:v>
      </x:c>
      <x:c r="B8" s="13" t="str">
        <x:v>Stocks for Breakfast | How to Be Net Profitable</x:v>
      </x:c>
      <x:c r="C8" s="14" t="d">
        <x:v>2020-11-05T00:00:00.000Z</x:v>
      </x:c>
      <x:c r="D8" s="18" t="e">
        <x:f>HYPERLINK("https://www.youtube.com/watch?v=-j5aX6WM8Es","Watch video")</x:f>
        <x:v>HYPERLINK is not implemented. linkLocation=https://www.youtube.com/watch?v=-j5aX6WM8Es, friendlyName=Watch video</x:v>
      </x:c>
      <x:c r="E8" s="18" t="e">
        <x:f>HYPERLINK("transcripts/-j5aX6WM8Es.html","Complete transcript")</x:f>
        <x:v>HYPERLINK is not implemented. linkLocation=transcripts/-j5aX6WM8Es.html, friendlyName=Complete transcript</x:v>
      </x:c>
      <x:c r="F8" s="13" t="str">
        <x:v>PETE_EXPLICIT</x:v>
      </x:c>
      <x:c r="G8" s="17" t="str">
        <x:v>UNREVIEWED</x:v>
      </x:c>
      <x:c r="H8" s="17" t="str"/>
      <x:c r="I8" s="17" t="str"/>
      <x:c r="J8" s="17" t="str"/>
      <x:c r="K8" s="17" t="str"/>
      <x:c r="L8" s="17" t="str"/>
      <x:c r="M8" s="17" t="str">
        <x:v>PENDING WHOLE-VIDEO REVIEW</x:v>
      </x:c>
      <x:c r="N8" s="15" t="n">
        <x:v>345</x:v>
      </x:c>
      <x:c r="O8" s="15" t="n">
        <x:v>2068</x:v>
      </x:c>
      <x:c r="P8" s="15" t="n">
        <x:v>631</x:v>
      </x:c>
      <x:c r="Q8" s="13" t="str">
        <x:v>NO_LARGE_TAIL_GAP</x:v>
      </x:c>
      <x:c r="R8" s="13" t="str"/>
      <x:c r="S8" s="16" t="n">
        <x:v>0</x:v>
      </x:c>
      <x:c r="T8" s="13" t="str">
        <x:v>9b8d340becb9eb4524b95b0b7b952bff4fcc9030342f04bc36d29f11c04cece3</x:v>
      </x:c>
    </x:row>
    <x:row r="9" ht="15" hidden="0" customHeight="1">
      <x:c r="A9" s="13" t="str">
        <x:v>-kCBFKCinsk</x:v>
      </x:c>
      <x:c r="B9" s="13" t="str">
        <x:v>When a "Bad" Risk/Reward Ratio Is Actually a Good Trade</x:v>
      </x:c>
      <x:c r="C9" s="14" t="d">
        <x:v>2026-07-10T00:00:00.000Z</x:v>
      </x:c>
      <x:c r="D9" s="18" t="e">
        <x:f>HYPERLINK("https://www.youtube.com/watch?v=-kCBFKCinsk","Watch video")</x:f>
        <x:v>HYPERLINK is not implemented. linkLocation=https://www.youtube.com/watch?v=-kCBFKCinsk, friendlyName=Watch video</x:v>
      </x:c>
      <x:c r="E9" s="18" t="e">
        <x:f>HYPERLINK("transcripts/-kCBFKCinsk.html","Complete transcript")</x:f>
        <x:v>HYPERLINK is not implemented. linkLocation=transcripts/-kCBFKCinsk.html, friendlyName=Complete transcript</x:v>
      </x:c>
      <x:c r="F9" s="13" t="str">
        <x:v>NON_PETE_EXPLICIT_JOHN</x:v>
      </x:c>
      <x:c r="G9" s="17" t="str">
        <x:v>UNREVIEWED</x:v>
      </x:c>
      <x:c r="H9" s="17" t="str"/>
      <x:c r="I9" s="17" t="str"/>
      <x:c r="J9" s="17" t="str"/>
      <x:c r="K9" s="17" t="str"/>
      <x:c r="L9" s="17" t="str"/>
      <x:c r="M9" s="17" t="str">
        <x:v>PENDING WHOLE-VIDEO REVIEW</x:v>
      </x:c>
      <x:c r="N9" s="15" t="n">
        <x:v>378</x:v>
      </x:c>
      <x:c r="O9" s="15" t="n">
        <x:v>2582</x:v>
      </x:c>
      <x:c r="P9" s="15" t="n">
        <x:v>925</x:v>
      </x:c>
      <x:c r="Q9" s="13" t="str">
        <x:v>NO_LARGE_TAIL_GAP</x:v>
      </x:c>
      <x:c r="R9" s="13" t="str"/>
      <x:c r="S9" s="16" t="n">
        <x:v>0</x:v>
      </x:c>
      <x:c r="T9" s="13" t="str">
        <x:v>d6b70c54c80d2b6d5b58931699de960ffa6f1fe71415a84b64263bce04745ed5</x:v>
      </x:c>
    </x:row>
    <x:row r="10" ht="15" hidden="0" customHeight="1">
      <x:c r="A10" s="13" t="str">
        <x:v>-vguheB43kU</x:v>
      </x:c>
      <x:c r="B10" s="13" t="str">
        <x:v>Powerful Candlestick Chart Pattern And How to Use it today</x:v>
      </x:c>
      <x:c r="C10" s="14" t="d">
        <x:v>2021-01-25T00:00:00.000Z</x:v>
      </x:c>
      <x:c r="D10" s="18" t="e">
        <x:f>HYPERLINK("https://www.youtube.com/watch?v=-vguheB43kU","Watch video")</x:f>
        <x:v>HYPERLINK is not implemented. linkLocation=https://www.youtube.com/watch?v=-vguheB43kU, friendlyName=Watch video</x:v>
      </x:c>
      <x:c r="E10" s="18" t="e">
        <x:f>HYPERLINK("transcripts/-vguheB43kU.html","Complete transcript")</x:f>
        <x:v>HYPERLINK is not implemented. linkLocation=transcripts/-vguheB43kU.html, friendlyName=Complete transcript</x:v>
      </x:c>
      <x:c r="F10" s="13" t="str">
        <x:v>PETE_EXPLICIT</x:v>
      </x:c>
      <x:c r="G10" s="17" t="str">
        <x:v>UNREVIEWED</x:v>
      </x:c>
      <x:c r="H10" s="17" t="str"/>
      <x:c r="I10" s="17" t="str"/>
      <x:c r="J10" s="17" t="str"/>
      <x:c r="K10" s="17" t="str"/>
      <x:c r="L10" s="17" t="str"/>
      <x:c r="M10" s="17" t="str">
        <x:v>PENDING WHOLE-VIDEO REVIEW</x:v>
      </x:c>
      <x:c r="N10" s="15" t="n">
        <x:v>445</x:v>
      </x:c>
      <x:c r="O10" s="15" t="n">
        <x:v>2687</x:v>
      </x:c>
      <x:c r="P10" s="15" t="n">
        <x:v>822</x:v>
      </x:c>
      <x:c r="Q10" s="13" t="str">
        <x:v>NO_LARGE_TAIL_GAP</x:v>
      </x:c>
      <x:c r="R10" s="13" t="str"/>
      <x:c r="S10" s="16" t="n">
        <x:v>0</x:v>
      </x:c>
      <x:c r="T10" s="13" t="str">
        <x:v>30dc026210d3c86f6105c208a0ad905537035d09cbb4cf1581322b1819b9645e</x:v>
      </x:c>
    </x:row>
    <x:row r="11" ht="15" hidden="0" customHeight="1">
      <x:c r="A11" s="13" t="str">
        <x:v>-wjJUMJ0cEg</x:v>
      </x:c>
      <x:c r="B11" s="13" t="str">
        <x:v>What Is Ahead for the Space X IPO and Elon Musk?</x:v>
      </x:c>
      <x:c r="C11" s="14" t="d">
        <x:v>2026-05-27T00:00:00.000Z</x:v>
      </x:c>
      <x:c r="D11" s="18" t="e">
        <x:f>HYPERLINK("https://www.youtube.com/watch?v=-wjJUMJ0cEg","Watch video")</x:f>
        <x:v>HYPERLINK is not implemented. linkLocation=https://www.youtube.com/watch?v=-wjJUMJ0cEg, friendlyName=Watch video</x:v>
      </x:c>
      <x:c r="E11" s="18" t="e">
        <x:f>HYPERLINK("transcripts/-wjJUMJ0cEg.html","Complete transcript")</x:f>
        <x:v>HYPERLINK is not implemented. linkLocation=transcripts/-wjJUMJ0cEg.html, friendlyName=Complete transcript</x:v>
      </x:c>
      <x:c r="F11" s="13" t="str">
        <x:v>UNKNOWN_REQUIRES_REVIEW</x:v>
      </x:c>
      <x:c r="G11" s="17" t="str">
        <x:v>UNREVIEWED</x:v>
      </x:c>
      <x:c r="H11" s="17" t="str"/>
      <x:c r="I11" s="17" t="str"/>
      <x:c r="J11" s="17" t="str"/>
      <x:c r="K11" s="17" t="str"/>
      <x:c r="L11" s="17" t="str"/>
      <x:c r="M11" s="17" t="str">
        <x:v>PENDING WHOLE-VIDEO REVIEW</x:v>
      </x:c>
      <x:c r="N11" s="15" t="n">
        <x:v>226</x:v>
      </x:c>
      <x:c r="O11" s="15" t="n">
        <x:v>1353</x:v>
      </x:c>
      <x:c r="P11" s="15" t="n">
        <x:v>511</x:v>
      </x:c>
      <x:c r="Q11" s="13" t="str">
        <x:v>NO_LARGE_TAIL_GAP</x:v>
      </x:c>
      <x:c r="R11" s="13" t="str"/>
      <x:c r="S11" s="16" t="n">
        <x:v>0</x:v>
      </x:c>
      <x:c r="T11" s="13" t="str">
        <x:v>2e106ed91b3419f8397ff865a28a5efad57c3498324c72a11774f98b05bd88cd</x:v>
      </x:c>
    </x:row>
    <x:row r="12" ht="15" hidden="0" customHeight="1">
      <x:c r="A12" s="13" t="str">
        <x:v>0DIYX4oVsMQ</x:v>
      </x:c>
      <x:c r="B12" s="13" t="str">
        <x:v>3 Candlestick Chart Patterns | 4-23-20 Stocks for Breakfast</x:v>
      </x:c>
      <x:c r="C12" s="14" t="d">
        <x:v>2020-04-23T00:00:00.000Z</x:v>
      </x:c>
      <x:c r="D12" s="18" t="e">
        <x:f>HYPERLINK("https://www.youtube.com/watch?v=0DIYX4oVsMQ","Watch video")</x:f>
        <x:v>HYPERLINK is not implemented. linkLocation=https://www.youtube.com/watch?v=0DIYX4oVsMQ, friendlyName=Watch video</x:v>
      </x:c>
      <x:c r="E12" s="18" t="e">
        <x:f>HYPERLINK("transcripts/0DIYX4oVsMQ.html","Complete transcript")</x:f>
        <x:v>HYPERLINK is not implemented. linkLocation=transcripts/0DIYX4oVsMQ.html, friendlyName=Complete transcript</x:v>
      </x:c>
      <x:c r="F12" s="13" t="str">
        <x:v>UNKNOWN_REQUIRES_REVIEW</x:v>
      </x:c>
      <x:c r="G12" s="17" t="str">
        <x:v>UNREVIEWED</x:v>
      </x:c>
      <x:c r="H12" s="17" t="str"/>
      <x:c r="I12" s="17" t="str"/>
      <x:c r="J12" s="17" t="str"/>
      <x:c r="K12" s="17" t="str"/>
      <x:c r="L12" s="17" t="str"/>
      <x:c r="M12" s="17" t="str">
        <x:v>PENDING WHOLE-VIDEO REVIEW</x:v>
      </x:c>
      <x:c r="N12" s="15" t="n">
        <x:v>631</x:v>
      </x:c>
      <x:c r="O12" s="15" t="n">
        <x:v>4492</x:v>
      </x:c>
      <x:c r="P12" s="15" t="n">
        <x:v>1387</x:v>
      </x:c>
      <x:c r="Q12" s="13" t="str">
        <x:v>NO_LARGE_TAIL_GAP</x:v>
      </x:c>
      <x:c r="R12" s="13" t="str"/>
      <x:c r="S12" s="16" t="n">
        <x:v>0</x:v>
      </x:c>
      <x:c r="T12" s="13" t="str">
        <x:v>c18b4da0fe27a360c7cf5685783d5431456422dd6e1ab009a64865bf7231e9d6</x:v>
      </x:c>
    </x:row>
    <x:row r="13" ht="15" hidden="0" customHeight="1">
      <x:c r="A13" s="13" t="str">
        <x:v>0Hp3ObYKb2Q</x:v>
      </x:c>
      <x:c r="B13" s="13" t="str">
        <x:v>stock trading recap 10 26 15</x:v>
      </x:c>
      <x:c r="C13" s="14" t="d">
        <x:v>2015-10-26T00:00:00.000Z</x:v>
      </x:c>
      <x:c r="D13" s="18" t="e">
        <x:f>HYPERLINK("https://www.youtube.com/watch?v=0Hp3ObYKb2Q","Watch video")</x:f>
        <x:v>HYPERLINK is not implemented. linkLocation=https://www.youtube.com/watch?v=0Hp3ObYKb2Q, friendlyName=Watch video</x:v>
      </x:c>
      <x:c r="E13" s="18" t="e">
        <x:f>HYPERLINK("transcripts/0Hp3ObYKb2Q.html","Complete transcript")</x:f>
        <x:v>HYPERLINK is not implemented. linkLocation=transcripts/0Hp3ObYKb2Q.html, friendlyName=Complete transcript</x:v>
      </x:c>
      <x:c r="F13" s="13" t="str">
        <x:v>UNKNOWN_REQUIRES_REVIEW</x:v>
      </x:c>
      <x:c r="G13" s="17" t="str">
        <x:v>UNREVIEWED</x:v>
      </x:c>
      <x:c r="H13" s="17" t="str"/>
      <x:c r="I13" s="17" t="str"/>
      <x:c r="J13" s="17" t="str"/>
      <x:c r="K13" s="17" t="str"/>
      <x:c r="L13" s="17" t="str"/>
      <x:c r="M13" s="17" t="str">
        <x:v>PENDING WHOLE-VIDEO REVIEW</x:v>
      </x:c>
      <x:c r="N13" s="15" t="n">
        <x:v>499</x:v>
      </x:c>
      <x:c r="O13" s="15" t="n">
        <x:v>3756</x:v>
      </x:c>
      <x:c r="P13" s="15" t="n">
        <x:v>1003</x:v>
      </x:c>
      <x:c r="Q13" s="13" t="str">
        <x:v>NO_LARGE_TAIL_GAP</x:v>
      </x:c>
      <x:c r="R13" s="13" t="str"/>
      <x:c r="S13" s="16" t="n">
        <x:v>0</x:v>
      </x:c>
      <x:c r="T13" s="13" t="str">
        <x:v>3e1a32b4309e387dd11931d0ea72d7ba05e60dd14a0080aabf1d2c126377f326</x:v>
      </x:c>
    </x:row>
    <x:row r="14" ht="15" hidden="0" customHeight="1">
      <x:c r="A14" s="13" t="str">
        <x:v>0N3_E2DM7wY</x:v>
      </x:c>
      <x:c r="B14" s="13" t="str">
        <x:v>Stocks for Breakfast 2.28.20 | Day Trading Coronavirus</x:v>
      </x:c>
      <x:c r="C14" s="14" t="d">
        <x:v>2020-02-28T00:00:00.000Z</x:v>
      </x:c>
      <x:c r="D14" s="18" t="e">
        <x:f>HYPERLINK("https://www.youtube.com/watch?v=0N3_E2DM7wY","Watch video")</x:f>
        <x:v>HYPERLINK is not implemented. linkLocation=https://www.youtube.com/watch?v=0N3_E2DM7wY, friendlyName=Watch video</x:v>
      </x:c>
      <x:c r="E14" s="18" t="e">
        <x:f>HYPERLINK("transcripts/0N3_E2DM7wY.html","Complete transcript")</x:f>
        <x:v>HYPERLINK is not implemented. linkLocation=transcripts/0N3_E2DM7wY.html, friendlyName=Complete transcript</x:v>
      </x:c>
      <x:c r="F14" s="13" t="str">
        <x:v>UNKNOWN_REQUIRES_REVIEW</x:v>
      </x:c>
      <x:c r="G14" s="17" t="str">
        <x:v>UNREVIEWED</x:v>
      </x:c>
      <x:c r="H14" s="17" t="str"/>
      <x:c r="I14" s="17" t="str"/>
      <x:c r="J14" s="17" t="str"/>
      <x:c r="K14" s="17" t="str"/>
      <x:c r="L14" s="17" t="str"/>
      <x:c r="M14" s="17" t="str">
        <x:v>PENDING WHOLE-VIDEO REVIEW</x:v>
      </x:c>
      <x:c r="N14" s="15" t="n">
        <x:v>546</x:v>
      </x:c>
      <x:c r="O14" s="15" t="n">
        <x:v>3901</x:v>
      </x:c>
      <x:c r="P14" s="15" t="n">
        <x:v>1212</x:v>
      </x:c>
      <x:c r="Q14" s="13" t="str">
        <x:v>NO_LARGE_TAIL_GAP</x:v>
      </x:c>
      <x:c r="R14" s="13" t="str"/>
      <x:c r="S14" s="16" t="n">
        <x:v>0</x:v>
      </x:c>
      <x:c r="T14" s="13" t="str">
        <x:v>e8067d67f1612e12248e1c2ec7a556dce6bf7f19ccfa998419b960a1a97316c4</x:v>
      </x:c>
    </x:row>
    <x:row r="15" ht="15" hidden="0" customHeight="1">
      <x:c r="A15" s="13" t="str">
        <x:v>0P_J2Z5rXHA</x:v>
      </x:c>
      <x:c r="B15" s="13" t="str">
        <x:v>Trading Losses | 4-30-20 Stocks for Breakfast</x:v>
      </x:c>
      <x:c r="C15" s="14" t="d">
        <x:v>2020-04-30T00:00:00.000Z</x:v>
      </x:c>
      <x:c r="D15" s="18" t="e">
        <x:f>HYPERLINK("https://www.youtube.com/watch?v=0P_J2Z5rXHA","Watch video")</x:f>
        <x:v>HYPERLINK is not implemented. linkLocation=https://www.youtube.com/watch?v=0P_J2Z5rXHA, friendlyName=Watch video</x:v>
      </x:c>
      <x:c r="E15" s="18" t="e">
        <x:f>HYPERLINK("transcripts/0P_J2Z5rXHA.html","Complete transcript")</x:f>
        <x:v>HYPERLINK is not implemented. linkLocation=transcripts/0P_J2Z5rXHA.html, friendlyName=Complete transcript</x:v>
      </x:c>
      <x:c r="F15" s="13" t="str">
        <x:v>UNKNOWN_REQUIRES_REVIEW</x:v>
      </x:c>
      <x:c r="G15" s="17" t="str">
        <x:v>UNREVIEWED</x:v>
      </x:c>
      <x:c r="H15" s="17" t="str"/>
      <x:c r="I15" s="17" t="str"/>
      <x:c r="J15" s="17" t="str"/>
      <x:c r="K15" s="17" t="str"/>
      <x:c r="L15" s="17" t="str"/>
      <x:c r="M15" s="17" t="str">
        <x:v>PENDING WHOLE-VIDEO REVIEW</x:v>
      </x:c>
      <x:c r="N15" s="15" t="n">
        <x:v>313</x:v>
      </x:c>
      <x:c r="O15" s="15" t="n">
        <x:v>2227</x:v>
      </x:c>
      <x:c r="P15" s="15" t="n">
        <x:v>738</x:v>
      </x:c>
      <x:c r="Q15" s="13" t="str">
        <x:v>NO_LARGE_TAIL_GAP</x:v>
      </x:c>
      <x:c r="R15" s="13" t="str"/>
      <x:c r="S15" s="16" t="n">
        <x:v>0</x:v>
      </x:c>
      <x:c r="T15" s="13" t="str">
        <x:v>02be44e0383f83878b69e8a94c13fd8da71a3853aac88bbed19f3298402ad632</x:v>
      </x:c>
    </x:row>
    <x:row r="16" ht="15" hidden="0" customHeight="1">
      <x:c r="A16" s="13" t="str">
        <x:v>0Yvdf-ZxgEQ</x:v>
      </x:c>
      <x:c r="B16" s="13" t="str">
        <x:v>Best Stock Picks Today | ROKU Price Target Raised 1-6-21</x:v>
      </x:c>
      <x:c r="C16" s="14" t="d">
        <x:v>2021-01-06T00:00:00.000Z</x:v>
      </x:c>
      <x:c r="D16" s="18" t="e">
        <x:f>HYPERLINK("https://www.youtube.com/watch?v=0Yvdf-ZxgEQ","Watch video")</x:f>
        <x:v>HYPERLINK is not implemented. linkLocation=https://www.youtube.com/watch?v=0Yvdf-ZxgEQ, friendlyName=Watch video</x:v>
      </x:c>
      <x:c r="E16" s="18" t="e">
        <x:f>HYPERLINK("transcripts/0Yvdf-ZxgEQ.html","Complete transcript")</x:f>
        <x:v>HYPERLINK is not implemented. linkLocation=transcripts/0Yvdf-ZxgEQ.html, friendlyName=Complete transcript</x:v>
      </x:c>
      <x:c r="F16" s="13" t="str">
        <x:v>PETE_EXPLICIT</x:v>
      </x:c>
      <x:c r="G16" s="17" t="str">
        <x:v>UNREVIEWED</x:v>
      </x:c>
      <x:c r="H16" s="17" t="str"/>
      <x:c r="I16" s="17" t="str"/>
      <x:c r="J16" s="17" t="str"/>
      <x:c r="K16" s="17" t="str"/>
      <x:c r="L16" s="17" t="str"/>
      <x:c r="M16" s="17" t="str">
        <x:v>PENDING WHOLE-VIDEO REVIEW</x:v>
      </x:c>
      <x:c r="N16" s="15" t="n">
        <x:v>418</x:v>
      </x:c>
      <x:c r="O16" s="15" t="n">
        <x:v>2553</x:v>
      </x:c>
      <x:c r="P16" s="15" t="n">
        <x:v>719</x:v>
      </x:c>
      <x:c r="Q16" s="13" t="str">
        <x:v>NO_LARGE_TAIL_GAP</x:v>
      </x:c>
      <x:c r="R16" s="13" t="str"/>
      <x:c r="S16" s="16" t="n">
        <x:v>0</x:v>
      </x:c>
      <x:c r="T16" s="13" t="str">
        <x:v>b3f6fca3563cf850d2e5a707c404c3bdf8d25334511111712952a8945109138d</x:v>
      </x:c>
    </x:row>
    <x:row r="17" ht="15" hidden="0" customHeight="1">
      <x:c r="A17" s="13" t="str">
        <x:v>0apQ3nYhmPk</x:v>
      </x:c>
      <x:c r="B17" s="13" t="str">
        <x:v>Relative Strength | Stocks for Breakfast</x:v>
      </x:c>
      <x:c r="C17" s="14" t="d">
        <x:v>2020-10-27T00:00:00.000Z</x:v>
      </x:c>
      <x:c r="D17" s="18" t="e">
        <x:f>HYPERLINK("https://www.youtube.com/watch?v=0apQ3nYhmPk","Watch video")</x:f>
        <x:v>HYPERLINK is not implemented. linkLocation=https://www.youtube.com/watch?v=0apQ3nYhmPk, friendlyName=Watch video</x:v>
      </x:c>
      <x:c r="E17" s="18" t="e">
        <x:f>HYPERLINK("transcripts/0apQ3nYhmPk.html","Complete transcript")</x:f>
        <x:v>HYPERLINK is not implemented. linkLocation=transcripts/0apQ3nYhmPk.html, friendlyName=Complete transcript</x:v>
      </x:c>
      <x:c r="F17" s="13" t="str">
        <x:v>PETE_EXPLICIT</x:v>
      </x:c>
      <x:c r="G17" s="17" t="str">
        <x:v>UNREVIEWED</x:v>
      </x:c>
      <x:c r="H17" s="17" t="str"/>
      <x:c r="I17" s="17" t="str"/>
      <x:c r="J17" s="17" t="str"/>
      <x:c r="K17" s="17" t="str"/>
      <x:c r="L17" s="17" t="str"/>
      <x:c r="M17" s="17" t="str">
        <x:v>PENDING WHOLE-VIDEO REVIEW</x:v>
      </x:c>
      <x:c r="N17" s="15" t="n">
        <x:v>394</x:v>
      </x:c>
      <x:c r="O17" s="15" t="n">
        <x:v>2436</x:v>
      </x:c>
      <x:c r="P17" s="15" t="n">
        <x:v>685</x:v>
      </x:c>
      <x:c r="Q17" s="13" t="str">
        <x:v>NO_LARGE_TAIL_GAP</x:v>
      </x:c>
      <x:c r="R17" s="13" t="str"/>
      <x:c r="S17" s="16" t="n">
        <x:v>0</x:v>
      </x:c>
      <x:c r="T17" s="13" t="str">
        <x:v>ff1314f6b50fe52cc4c6d5ca7feeb21bb086eff4672c1f1fb184e19a73d4d92c</x:v>
      </x:c>
    </x:row>
    <x:row r="18" ht="15" hidden="0" customHeight="1">
      <x:c r="A18" s="13" t="str">
        <x:v>0ctc4kfRPR8</x:v>
      </x:c>
      <x:c r="B18" s="13" t="str">
        <x:v>Bank Stocks! TSLA Earnings, CVNA Craziness</x:v>
      </x:c>
      <x:c r="C18" s="14" t="d">
        <x:v>2023-07-20T00:00:00.000Z</x:v>
      </x:c>
      <x:c r="D18" s="18" t="e">
        <x:f>HYPERLINK("https://www.youtube.com/watch?v=0ctc4kfRPR8","Watch video")</x:f>
        <x:v>HYPERLINK is not implemented. linkLocation=https://www.youtube.com/watch?v=0ctc4kfRPR8, friendlyName=Watch video</x:v>
      </x:c>
      <x:c r="E18" s="18" t="e">
        <x:f>HYPERLINK("transcripts/0ctc4kfRPR8.html","Complete transcript")</x:f>
        <x:v>HYPERLINK is not implemented. linkLocation=transcripts/0ctc4kfRPR8.html, friendlyName=Complete transcript</x:v>
      </x:c>
      <x:c r="F18" s="13" t="str">
        <x:v>PETE_EXPLICIT</x:v>
      </x:c>
      <x:c r="G18" s="17" t="str">
        <x:v>UNREVIEWED</x:v>
      </x:c>
      <x:c r="H18" s="17" t="str"/>
      <x:c r="I18" s="17" t="str"/>
      <x:c r="J18" s="17" t="str"/>
      <x:c r="K18" s="17" t="str"/>
      <x:c r="L18" s="17" t="str"/>
      <x:c r="M18" s="17" t="str">
        <x:v>PENDING WHOLE-VIDEO REVIEW</x:v>
      </x:c>
      <x:c r="N18" s="15" t="n">
        <x:v>800</x:v>
      </x:c>
      <x:c r="O18" s="15" t="n">
        <x:v>5578</x:v>
      </x:c>
      <x:c r="P18" s="15" t="n">
        <x:v>1656</x:v>
      </x:c>
      <x:c r="Q18" s="13" t="str">
        <x:v>NO_LARGE_TAIL_GAP</x:v>
      </x:c>
      <x:c r="R18" s="13" t="str"/>
      <x:c r="S18" s="16" t="n">
        <x:v>0</x:v>
      </x:c>
      <x:c r="T18" s="13" t="str">
        <x:v>68cc4ea3e6cc2e7e5aa9a9b675fa272ed70acc38ec200e500fc318617c2ba767</x:v>
      </x:c>
    </x:row>
    <x:row r="19" ht="15" hidden="0" customHeight="1">
      <x:c r="A19" s="13" t="str">
        <x:v>0ipwmAkaQSQ</x:v>
      </x:c>
      <x:c r="B19" s="13" t="str">
        <x:v>LI Earnings-EV Stocks | Best Stock Picks Today 11-13-20</x:v>
      </x:c>
      <x:c r="C19" s="14" t="d">
        <x:v>2020-11-13T00:00:00.000Z</x:v>
      </x:c>
      <x:c r="D19" s="18" t="e">
        <x:f>HYPERLINK("https://www.youtube.com/watch?v=0ipwmAkaQSQ","Watch video")</x:f>
        <x:v>HYPERLINK is not implemented. linkLocation=https://www.youtube.com/watch?v=0ipwmAkaQSQ, friendlyName=Watch video</x:v>
      </x:c>
      <x:c r="E19" s="18" t="e">
        <x:f>HYPERLINK("transcripts/0ipwmAkaQSQ.html","Complete transcript")</x:f>
        <x:v>HYPERLINK is not implemented. linkLocation=transcripts/0ipwmAkaQSQ.html, friendlyName=Complete transcript</x:v>
      </x:c>
      <x:c r="F19" s="13" t="str">
        <x:v>PETE_EXPLICIT</x:v>
      </x:c>
      <x:c r="G19" s="17" t="str">
        <x:v>UNREVIEWED</x:v>
      </x:c>
      <x:c r="H19" s="17" t="str"/>
      <x:c r="I19" s="17" t="str"/>
      <x:c r="J19" s="17" t="str"/>
      <x:c r="K19" s="17" t="str"/>
      <x:c r="L19" s="17" t="str"/>
      <x:c r="M19" s="17" t="str">
        <x:v>PENDING WHOLE-VIDEO REVIEW</x:v>
      </x:c>
      <x:c r="N19" s="15" t="n">
        <x:v>307</x:v>
      </x:c>
      <x:c r="O19" s="15" t="n">
        <x:v>1862</x:v>
      </x:c>
      <x:c r="P19" s="15" t="n">
        <x:v>523</x:v>
      </x:c>
      <x:c r="Q19" s="13" t="str">
        <x:v>NO_LARGE_TAIL_GAP</x:v>
      </x:c>
      <x:c r="R19" s="13" t="str"/>
      <x:c r="S19" s="16" t="n">
        <x:v>0</x:v>
      </x:c>
      <x:c r="T19" s="13" t="str">
        <x:v>fdf501250a7f889e96c86600eac0d61d75d800b35c434e2b2ab5efc53a4d8c9a</x:v>
      </x:c>
    </x:row>
    <x:row r="20" ht="15" hidden="0" customHeight="1">
      <x:c r="A20" s="13" t="str">
        <x:v>0lA5QqrDiN0</x:v>
      </x:c>
      <x:c r="B20" s="13" t="str">
        <x:v>Stock Market Order Types | Market Order, Limit Order, Stop Loss, Stop Limit</x:v>
      </x:c>
      <x:c r="C20" s="14" t="d">
        <x:v>2021-02-05T00:00:00.000Z</x:v>
      </x:c>
      <x:c r="D20" s="18" t="e">
        <x:f>HYPERLINK("https://www.youtube.com/watch?v=0lA5QqrDiN0","Watch video")</x:f>
        <x:v>HYPERLINK is not implemented. linkLocation=https://www.youtube.com/watch?v=0lA5QqrDiN0, friendlyName=Watch video</x:v>
      </x:c>
      <x:c r="E20" s="18" t="e">
        <x:f>HYPERLINK("transcripts/0lA5QqrDiN0.html","Complete transcript")</x:f>
        <x:v>HYPERLINK is not implemented. linkLocation=transcripts/0lA5QqrDiN0.html, friendlyName=Complete transcript</x:v>
      </x:c>
      <x:c r="F20" s="13" t="str">
        <x:v>PETE_EXPLICIT</x:v>
      </x:c>
      <x:c r="G20" s="17" t="str">
        <x:v>UNREVIEWED</x:v>
      </x:c>
      <x:c r="H20" s="17" t="str"/>
      <x:c r="I20" s="17" t="str"/>
      <x:c r="J20" s="17" t="str"/>
      <x:c r="K20" s="17" t="str"/>
      <x:c r="L20" s="17" t="str"/>
      <x:c r="M20" s="17" t="str">
        <x:v>PENDING WHOLE-VIDEO REVIEW</x:v>
      </x:c>
      <x:c r="N20" s="15" t="n">
        <x:v>407</x:v>
      </x:c>
      <x:c r="O20" s="15" t="n">
        <x:v>2538</x:v>
      </x:c>
      <x:c r="P20" s="15" t="n">
        <x:v>768</x:v>
      </x:c>
      <x:c r="Q20" s="13" t="str">
        <x:v>NO_LARGE_TAIL_GAP</x:v>
      </x:c>
      <x:c r="R20" s="13" t="str"/>
      <x:c r="S20" s="16" t="n">
        <x:v>0</x:v>
      </x:c>
      <x:c r="T20" s="13" t="str">
        <x:v>4cbc14ca4ce35a0e8a7e410b769f56d0761a5c5919a0f261cdf34aab1bdb1bde</x:v>
      </x:c>
    </x:row>
    <x:row r="21" ht="15" hidden="0" customHeight="1">
      <x:c r="A21" s="13" t="str">
        <x:v>0pgFhVH6Rj4</x:v>
      </x:c>
      <x:c r="B21" s="13" t="str">
        <x:v>Pro Trading Strategies | Stocks for Breakfast 3 31 20</x:v>
      </x:c>
      <x:c r="C21" s="14" t="d">
        <x:v>2020-03-31T00:00:00.000Z</x:v>
      </x:c>
      <x:c r="D21" s="18" t="e">
        <x:f>HYPERLINK("https://www.youtube.com/watch?v=0pgFhVH6Rj4","Watch video")</x:f>
        <x:v>HYPERLINK is not implemented. linkLocation=https://www.youtube.com/watch?v=0pgFhVH6Rj4, friendlyName=Watch video</x:v>
      </x:c>
      <x:c r="E21" s="18" t="e">
        <x:f>HYPERLINK("transcripts/0pgFhVH6Rj4.html","Complete transcript")</x:f>
        <x:v>HYPERLINK is not implemented. linkLocation=transcripts/0pgFhVH6Rj4.html, friendlyName=Complete transcript</x:v>
      </x:c>
      <x:c r="F21" s="13" t="str">
        <x:v>UNKNOWN_REQUIRES_REVIEW</x:v>
      </x:c>
      <x:c r="G21" s="17" t="str">
        <x:v>UNREVIEWED</x:v>
      </x:c>
      <x:c r="H21" s="17" t="str"/>
      <x:c r="I21" s="17" t="str"/>
      <x:c r="J21" s="17" t="str"/>
      <x:c r="K21" s="17" t="str"/>
      <x:c r="L21" s="17" t="str"/>
      <x:c r="M21" s="17" t="str">
        <x:v>PENDING WHOLE-VIDEO REVIEW</x:v>
      </x:c>
      <x:c r="N21" s="15" t="n">
        <x:v>563</x:v>
      </x:c>
      <x:c r="O21" s="15" t="n">
        <x:v>4035</x:v>
      </x:c>
      <x:c r="P21" s="15" t="n">
        <x:v>1100</x:v>
      </x:c>
      <x:c r="Q21" s="13" t="str">
        <x:v>NO_LARGE_TAIL_GAP</x:v>
      </x:c>
      <x:c r="R21" s="13" t="str"/>
      <x:c r="S21" s="16" t="n">
        <x:v>0</x:v>
      </x:c>
      <x:c r="T21" s="13" t="str">
        <x:v>fc01413a6984bb784563dc7095ad7a21f9b3c7add3426177755ccda8b3fde890</x:v>
      </x:c>
    </x:row>
    <x:row r="22" ht="15" hidden="0" customHeight="1">
      <x:c r="A22" s="13" t="str">
        <x:v>0qs5KDeCCis</x:v>
      </x:c>
      <x:c r="B22" s="13" t="str">
        <x:v>LAZR Luminar | Best Stock Picks Today 12-4-20</x:v>
      </x:c>
      <x:c r="C22" s="14" t="d">
        <x:v>2020-12-04T00:00:00.000Z</x:v>
      </x:c>
      <x:c r="D22" s="18" t="e">
        <x:f>HYPERLINK("https://www.youtube.com/watch?v=0qs5KDeCCis","Watch video")</x:f>
        <x:v>HYPERLINK is not implemented. linkLocation=https://www.youtube.com/watch?v=0qs5KDeCCis, friendlyName=Watch video</x:v>
      </x:c>
      <x:c r="E22" s="18" t="e">
        <x:f>HYPERLINK("transcripts/0qs5KDeCCis.html","Complete transcript")</x:f>
        <x:v>HYPERLINK is not implemented. linkLocation=transcripts/0qs5KDeCCis.html, friendlyName=Complete transcript</x:v>
      </x:c>
      <x:c r="F22" s="13" t="str">
        <x:v>PETE_EXPLICIT</x:v>
      </x:c>
      <x:c r="G22" s="17" t="str">
        <x:v>UNREVIEWED</x:v>
      </x:c>
      <x:c r="H22" s="17" t="str"/>
      <x:c r="I22" s="17" t="str"/>
      <x:c r="J22" s="17" t="str"/>
      <x:c r="K22" s="17" t="str"/>
      <x:c r="L22" s="17" t="str"/>
      <x:c r="M22" s="17" t="str">
        <x:v>PENDING WHOLE-VIDEO REVIEW</x:v>
      </x:c>
      <x:c r="N22" s="15" t="n">
        <x:v>678</x:v>
      </x:c>
      <x:c r="O22" s="15" t="n">
        <x:v>4218</x:v>
      </x:c>
      <x:c r="P22" s="15" t="n">
        <x:v>1171</x:v>
      </x:c>
      <x:c r="Q22" s="13" t="str">
        <x:v>NO_LARGE_TAIL_GAP</x:v>
      </x:c>
      <x:c r="R22" s="13" t="str"/>
      <x:c r="S22" s="16" t="n">
        <x:v>0</x:v>
      </x:c>
      <x:c r="T22" s="13" t="str">
        <x:v>0045261dbb27371153e3f7ccf281c0e4635802d450103a45db97ba1d945699d3</x:v>
      </x:c>
    </x:row>
    <x:row r="23" ht="15" hidden="0" customHeight="1">
      <x:c r="A23" s="13" t="str">
        <x:v>0s3swarNMrg</x:v>
      </x:c>
      <x:c r="B23" s="13" t="str">
        <x:v>FB Stock Facebook 6-29-20 | Best Stock Picks Today</x:v>
      </x:c>
      <x:c r="C23" s="14" t="d">
        <x:v>2020-06-29T00:00:00.000Z</x:v>
      </x:c>
      <x:c r="D23" s="18" t="e">
        <x:f>HYPERLINK("https://www.youtube.com/watch?v=0s3swarNMrg","Watch video")</x:f>
        <x:v>HYPERLINK is not implemented. linkLocation=https://www.youtube.com/watch?v=0s3swarNMrg, friendlyName=Watch video</x:v>
      </x:c>
      <x:c r="E23" s="18" t="e">
        <x:f>HYPERLINK("transcripts/0s3swarNMrg.html","Complete transcript")</x:f>
        <x:v>HYPERLINK is not implemented. linkLocation=transcripts/0s3swarNMrg.html, friendlyName=Complete transcript</x:v>
      </x:c>
      <x:c r="F23" s="13" t="str">
        <x:v>UNKNOWN_REQUIRES_REVIEW</x:v>
      </x:c>
      <x:c r="G23" s="17" t="str">
        <x:v>UNREVIEWED</x:v>
      </x:c>
      <x:c r="H23" s="17" t="str"/>
      <x:c r="I23" s="17" t="str"/>
      <x:c r="J23" s="17" t="str"/>
      <x:c r="K23" s="17" t="str"/>
      <x:c r="L23" s="17" t="str"/>
      <x:c r="M23" s="17" t="str">
        <x:v>PENDING WHOLE-VIDEO REVIEW</x:v>
      </x:c>
      <x:c r="N23" s="15" t="n">
        <x:v>501</x:v>
      </x:c>
      <x:c r="O23" s="15" t="n">
        <x:v>3688</x:v>
      </x:c>
      <x:c r="P23" s="15" t="n">
        <x:v>1037</x:v>
      </x:c>
      <x:c r="Q23" s="13" t="str">
        <x:v>NO_LARGE_TAIL_GAP</x:v>
      </x:c>
      <x:c r="R23" s="13" t="str"/>
      <x:c r="S23" s="16" t="n">
        <x:v>0</x:v>
      </x:c>
      <x:c r="T23" s="13" t="str">
        <x:v>df564c5864dd97c9988ab39c6041de1134d8f5d96afd4e599987694311a53109</x:v>
      </x:c>
    </x:row>
    <x:row r="24" ht="15" hidden="0" customHeight="1">
      <x:c r="A24" s="13" t="str">
        <x:v>17bsRRyihMY</x:v>
      </x:c>
      <x:c r="B24" s="13" t="str">
        <x:v>Tokenized Stock Market: The Rise of Perpetual Futures</x:v>
      </x:c>
      <x:c r="C24" s="14" t="d">
        <x:v>2026-06-11T00:00:00.000Z</x:v>
      </x:c>
      <x:c r="D24" s="18" t="e">
        <x:f>HYPERLINK("https://www.youtube.com/watch?v=17bsRRyihMY","Watch video")</x:f>
        <x:v>HYPERLINK is not implemented. linkLocation=https://www.youtube.com/watch?v=17bsRRyihMY, friendlyName=Watch video</x:v>
      </x:c>
      <x:c r="E24" s="18" t="e">
        <x:f>HYPERLINK("transcripts/17bsRRyihMY.html","Complete transcript")</x:f>
        <x:v>HYPERLINK is not implemented. linkLocation=transcripts/17bsRRyihMY.html, friendlyName=Complete transcript</x:v>
      </x:c>
      <x:c r="F24" s="13" t="str">
        <x:v>UNKNOWN_REQUIRES_REVIEW</x:v>
      </x:c>
      <x:c r="G24" s="17" t="str">
        <x:v>UNREVIEWED</x:v>
      </x:c>
      <x:c r="H24" s="17" t="str"/>
      <x:c r="I24" s="17" t="str"/>
      <x:c r="J24" s="17" t="str"/>
      <x:c r="K24" s="17" t="str"/>
      <x:c r="L24" s="17" t="str"/>
      <x:c r="M24" s="17" t="str">
        <x:v>PENDING WHOLE-VIDEO REVIEW</x:v>
      </x:c>
      <x:c r="N24" s="15" t="n">
        <x:v>269</x:v>
      </x:c>
      <x:c r="O24" s="15" t="n">
        <x:v>1566</x:v>
      </x:c>
      <x:c r="P24" s="15" t="n">
        <x:v>547</x:v>
      </x:c>
      <x:c r="Q24" s="13" t="str">
        <x:v>NO_LARGE_TAIL_GAP</x:v>
      </x:c>
      <x:c r="R24" s="13" t="str"/>
      <x:c r="S24" s="16" t="n">
        <x:v>0</x:v>
      </x:c>
      <x:c r="T24" s="13" t="str">
        <x:v>f7cc8057cf98d44a3892dc7dcc0aec53bdcad6ecbc420e6fa3aa44012f4c6c5d</x:v>
      </x:c>
    </x:row>
    <x:row r="25" ht="15" hidden="0" customHeight="1">
      <x:c r="A25" s="13" t="str">
        <x:v>17euB7reQM4</x:v>
      </x:c>
      <x:c r="B25" s="13" t="str">
        <x:v>Trading Psychology | The Psychology of Winning Traders</x:v>
      </x:c>
      <x:c r="C25" s="14" t="d">
        <x:v>2016-02-06T00:00:00.000Z</x:v>
      </x:c>
      <x:c r="D25" s="18" t="e">
        <x:f>HYPERLINK("https://www.youtube.com/watch?v=17euB7reQM4","Watch video")</x:f>
        <x:v>HYPERLINK is not implemented. linkLocation=https://www.youtube.com/watch?v=17euB7reQM4, friendlyName=Watch video</x:v>
      </x:c>
      <x:c r="E25" s="18" t="e">
        <x:f>HYPERLINK("transcripts/17euB7reQM4.html","Complete transcript")</x:f>
        <x:v>HYPERLINK is not implemented. linkLocation=transcripts/17euB7reQM4.html, friendlyName=Complete transcript</x:v>
      </x:c>
      <x:c r="F25" s="13" t="str">
        <x:v>UNKNOWN_REQUIRES_REVIEW</x:v>
      </x:c>
      <x:c r="G25" s="17" t="str">
        <x:v>UNREVIEWED</x:v>
      </x:c>
      <x:c r="H25" s="17" t="str"/>
      <x:c r="I25" s="17" t="str"/>
      <x:c r="J25" s="17" t="str"/>
      <x:c r="K25" s="17" t="str"/>
      <x:c r="L25" s="17" t="str"/>
      <x:c r="M25" s="17" t="str">
        <x:v>PENDING WHOLE-VIDEO REVIEW</x:v>
      </x:c>
      <x:c r="N25" s="15" t="n">
        <x:v>1048</x:v>
      </x:c>
      <x:c r="O25" s="15" t="n">
        <x:v>7517</x:v>
      </x:c>
      <x:c r="P25" s="15" t="n">
        <x:v>2379</x:v>
      </x:c>
      <x:c r="Q25" s="13" t="str">
        <x:v>NO_LARGE_TAIL_GAP</x:v>
      </x:c>
      <x:c r="R25" s="13" t="str"/>
      <x:c r="S25" s="16" t="n">
        <x:v>0</x:v>
      </x:c>
      <x:c r="T25" s="13" t="str">
        <x:v>ea2a6dba7f33bed0c7abd7ee0f6823c5e30b383d658f1b78296233b0417cfefb</x:v>
      </x:c>
    </x:row>
    <x:row r="26" ht="15" hidden="0" customHeight="1">
      <x:c r="A26" s="13" t="str">
        <x:v>1JFBHHy5SAE</x:v>
      </x:c>
      <x:c r="B26" s="13" t="str">
        <x:v>Best Stock Picks Today | CAT Near All Time Highs 10-23-20</x:v>
      </x:c>
      <x:c r="C26" s="14" t="d">
        <x:v>2020-10-23T00:00:00.000Z</x:v>
      </x:c>
      <x:c r="D26" s="18" t="e">
        <x:f>HYPERLINK("https://www.youtube.com/watch?v=1JFBHHy5SAE","Watch video")</x:f>
        <x:v>HYPERLINK is not implemented. linkLocation=https://www.youtube.com/watch?v=1JFBHHy5SAE, friendlyName=Watch video</x:v>
      </x:c>
      <x:c r="E26" s="18" t="e">
        <x:f>HYPERLINK("transcripts/1JFBHHy5SAE.html","Complete transcript")</x:f>
        <x:v>HYPERLINK is not implemented. linkLocation=transcripts/1JFBHHy5SAE.html, friendlyName=Complete transcript</x:v>
      </x:c>
      <x:c r="F26" s="13" t="str">
        <x:v>PETE_EXPLICIT</x:v>
      </x:c>
      <x:c r="G26" s="17" t="str">
        <x:v>UNREVIEWED</x:v>
      </x:c>
      <x:c r="H26" s="17" t="str"/>
      <x:c r="I26" s="17" t="str"/>
      <x:c r="J26" s="17" t="str"/>
      <x:c r="K26" s="17" t="str"/>
      <x:c r="L26" s="17" t="str"/>
      <x:c r="M26" s="17" t="str">
        <x:v>PENDING WHOLE-VIDEO REVIEW</x:v>
      </x:c>
      <x:c r="N26" s="15" t="n">
        <x:v>499</x:v>
      </x:c>
      <x:c r="O26" s="15" t="n">
        <x:v>3171</x:v>
      </x:c>
      <x:c r="P26" s="15" t="n">
        <x:v>872</x:v>
      </x:c>
      <x:c r="Q26" s="13" t="str">
        <x:v>NO_LARGE_TAIL_GAP</x:v>
      </x:c>
      <x:c r="R26" s="13" t="str"/>
      <x:c r="S26" s="16" t="n">
        <x:v>0</x:v>
      </x:c>
      <x:c r="T26" s="13" t="str">
        <x:v>f37a1975f8d849ef2a142547188e21b48bff1a34182320870704c5bed26eb8d5</x:v>
      </x:c>
    </x:row>
    <x:row r="27" ht="15" hidden="0" customHeight="1">
      <x:c r="A27" s="13" t="str">
        <x:v>1M6Trh0hpLU</x:v>
      </x:c>
      <x:c r="B27" s="13" t="str">
        <x:v>Short Selling Bank Stocks | 5-13-20 Best Stock Picks Today</x:v>
      </x:c>
      <x:c r="C27" s="14" t="d">
        <x:v>2020-05-13T00:00:00.000Z</x:v>
      </x:c>
      <x:c r="D27" s="18" t="e">
        <x:f>HYPERLINK("https://www.youtube.com/watch?v=1M6Trh0hpLU","Watch video")</x:f>
        <x:v>HYPERLINK is not implemented. linkLocation=https://www.youtube.com/watch?v=1M6Trh0hpLU, friendlyName=Watch video</x:v>
      </x:c>
      <x:c r="E27" s="18" t="e">
        <x:f>HYPERLINK("transcripts/1M6Trh0hpLU.html","Complete transcript")</x:f>
        <x:v>HYPERLINK is not implemented. linkLocation=transcripts/1M6Trh0hpLU.html, friendlyName=Complete transcript</x:v>
      </x:c>
      <x:c r="F27" s="13" t="str">
        <x:v>PETE_EXPLICIT</x:v>
      </x:c>
      <x:c r="G27" s="17" t="str">
        <x:v>UNREVIEWED</x:v>
      </x:c>
      <x:c r="H27" s="17" t="str"/>
      <x:c r="I27" s="17" t="str"/>
      <x:c r="J27" s="17" t="str"/>
      <x:c r="K27" s="17" t="str"/>
      <x:c r="L27" s="17" t="str"/>
      <x:c r="M27" s="17" t="str">
        <x:v>PENDING WHOLE-VIDEO REVIEW</x:v>
      </x:c>
      <x:c r="N27" s="15" t="n">
        <x:v>355</x:v>
      </x:c>
      <x:c r="O27" s="15" t="n">
        <x:v>2192</x:v>
      </x:c>
      <x:c r="P27" s="15" t="n">
        <x:v>645</x:v>
      </x:c>
      <x:c r="Q27" s="13" t="str">
        <x:v>NO_LARGE_TAIL_GAP</x:v>
      </x:c>
      <x:c r="R27" s="13" t="str"/>
      <x:c r="S27" s="16" t="n">
        <x:v>0</x:v>
      </x:c>
      <x:c r="T27" s="13" t="str">
        <x:v>2c2f02ee418d5358fddfafb4e45db2ec5412d778d1044dfb64e7e404b550c911</x:v>
      </x:c>
    </x:row>
    <x:row r="28" ht="15" hidden="0" customHeight="1">
      <x:c r="A28" s="13" t="str">
        <x:v>1PRRJTBffyA</x:v>
      </x:c>
      <x:c r="B28" s="13" t="str">
        <x:v>How to Trade Options With a Small Account (Step by Step)</x:v>
      </x:c>
      <x:c r="C28" s="14" t="d">
        <x:v>2025-10-15T00:00:00.000Z</x:v>
      </x:c>
      <x:c r="D28" s="18" t="e">
        <x:f>HYPERLINK("https://www.youtube.com/watch?v=1PRRJTBffyA","Watch video")</x:f>
        <x:v>HYPERLINK is not implemented. linkLocation=https://www.youtube.com/watch?v=1PRRJTBffyA, friendlyName=Watch video</x:v>
      </x:c>
      <x:c r="E28" s="18" t="e">
        <x:f>HYPERLINK("transcripts/1PRRJTBffyA.html","Complete transcript")</x:f>
        <x:v>HYPERLINK is not implemented. linkLocation=transcripts/1PRRJTBffyA.html, friendlyName=Complete transcript</x:v>
      </x:c>
      <x:c r="F28" s="13" t="str">
        <x:v>NON_PETE_EXPLICIT_JOHN</x:v>
      </x:c>
      <x:c r="G28" s="17" t="str">
        <x:v>UNREVIEWED</x:v>
      </x:c>
      <x:c r="H28" s="17" t="str"/>
      <x:c r="I28" s="17" t="str"/>
      <x:c r="J28" s="17" t="str"/>
      <x:c r="K28" s="17" t="str"/>
      <x:c r="L28" s="17" t="str"/>
      <x:c r="M28" s="17" t="str">
        <x:v>PENDING WHOLE-VIDEO REVIEW</x:v>
      </x:c>
      <x:c r="N28" s="15" t="n">
        <x:v>297</x:v>
      </x:c>
      <x:c r="O28" s="15" t="n">
        <x:v>2176</x:v>
      </x:c>
      <x:c r="P28" s="15" t="n">
        <x:v>698</x:v>
      </x:c>
      <x:c r="Q28" s="13" t="str">
        <x:v>NO_LARGE_TAIL_GAP</x:v>
      </x:c>
      <x:c r="R28" s="13" t="str"/>
      <x:c r="S28" s="16" t="n">
        <x:v>0</x:v>
      </x:c>
      <x:c r="T28" s="13" t="str">
        <x:v>95b3c0f259650c5962bec22c2700a286e6de34dbcd1bc3098909db5397598a29</x:v>
      </x:c>
    </x:row>
    <x:row r="29" ht="15" hidden="0" customHeight="1">
      <x:c r="A29" s="13" t="str">
        <x:v>1QhpnY_ytB4</x:v>
      </x:c>
      <x:c r="B29" s="13" t="str">
        <x:v>SHOP Earnings Shopify | 5-6-20 Best Stock Picks Today</x:v>
      </x:c>
      <x:c r="C29" s="14" t="d">
        <x:v>2020-05-06T00:00:00.000Z</x:v>
      </x:c>
      <x:c r="D29" s="18" t="e">
        <x:f>HYPERLINK("https://www.youtube.com/watch?v=1QhpnY_ytB4","Watch video")</x:f>
        <x:v>HYPERLINK is not implemented. linkLocation=https://www.youtube.com/watch?v=1QhpnY_ytB4, friendlyName=Watch video</x:v>
      </x:c>
      <x:c r="E29" s="18" t="e">
        <x:f>HYPERLINK("transcripts/1QhpnY_ytB4.html","Complete transcript")</x:f>
        <x:v>HYPERLINK is not implemented. linkLocation=transcripts/1QhpnY_ytB4.html, friendlyName=Complete transcript</x:v>
      </x:c>
      <x:c r="F29" s="13" t="str">
        <x:v>UNKNOWN_REQUIRES_REVIEW</x:v>
      </x:c>
      <x:c r="G29" s="17" t="str">
        <x:v>UNREVIEWED</x:v>
      </x:c>
      <x:c r="H29" s="17" t="str"/>
      <x:c r="I29" s="17" t="str"/>
      <x:c r="J29" s="17" t="str"/>
      <x:c r="K29" s="17" t="str"/>
      <x:c r="L29" s="17" t="str"/>
      <x:c r="M29" s="17" t="str">
        <x:v>PENDING WHOLE-VIDEO REVIEW</x:v>
      </x:c>
      <x:c r="N29" s="15" t="n">
        <x:v>295</x:v>
      </x:c>
      <x:c r="O29" s="15" t="n">
        <x:v>2207</x:v>
      </x:c>
      <x:c r="P29" s="15" t="n">
        <x:v>657</x:v>
      </x:c>
      <x:c r="Q29" s="13" t="str">
        <x:v>NO_LARGE_TAIL_GAP</x:v>
      </x:c>
      <x:c r="R29" s="13" t="str"/>
      <x:c r="S29" s="16" t="n">
        <x:v>0</x:v>
      </x:c>
      <x:c r="T29" s="13" t="str">
        <x:v>c5023df6b086f40cdef6ef675ec6d9d2abe0b3268c8a8ec778fc211ce7fef0f6</x:v>
      </x:c>
    </x:row>
    <x:row r="30" ht="15" hidden="0" customHeight="1">
      <x:c r="A30" s="13" t="str">
        <x:v>1RVsgbJRVbE</x:v>
      </x:c>
      <x:c r="B30" s="13" t="str">
        <x:v>JPM Swing Trade | Best Stock Picks Today 11-27-20</x:v>
      </x:c>
      <x:c r="C30" s="14" t="d">
        <x:v>2020-11-27T00:00:00.000Z</x:v>
      </x:c>
      <x:c r="D30" s="18" t="e">
        <x:f>HYPERLINK("https://www.youtube.com/watch?v=1RVsgbJRVbE","Watch video")</x:f>
        <x:v>HYPERLINK is not implemented. linkLocation=https://www.youtube.com/watch?v=1RVsgbJRVbE, friendlyName=Watch video</x:v>
      </x:c>
      <x:c r="E30" s="18" t="e">
        <x:f>HYPERLINK("transcripts/1RVsgbJRVbE.html","Complete transcript")</x:f>
        <x:v>HYPERLINK is not implemented. linkLocation=transcripts/1RVsgbJRVbE.html, friendlyName=Complete transcript</x:v>
      </x:c>
      <x:c r="F30" s="13" t="str">
        <x:v>PETE_EXPLICIT</x:v>
      </x:c>
      <x:c r="G30" s="17" t="str">
        <x:v>UNREVIEWED</x:v>
      </x:c>
      <x:c r="H30" s="17" t="str"/>
      <x:c r="I30" s="17" t="str"/>
      <x:c r="J30" s="17" t="str"/>
      <x:c r="K30" s="17" t="str"/>
      <x:c r="L30" s="17" t="str"/>
      <x:c r="M30" s="17" t="str">
        <x:v>PENDING WHOLE-VIDEO REVIEW</x:v>
      </x:c>
      <x:c r="N30" s="15" t="n">
        <x:v>396</x:v>
      </x:c>
      <x:c r="O30" s="15" t="n">
        <x:v>2485</x:v>
      </x:c>
      <x:c r="P30" s="15" t="n">
        <x:v>684</x:v>
      </x:c>
      <x:c r="Q30" s="13" t="str">
        <x:v>NO_LARGE_TAIL_GAP</x:v>
      </x:c>
      <x:c r="R30" s="13" t="str"/>
      <x:c r="S30" s="16" t="n">
        <x:v>0</x:v>
      </x:c>
      <x:c r="T30" s="13" t="str">
        <x:v>ed4e0560817607eb285d6deedf368466a38f617059b6b3d23d38633918f3f1ce</x:v>
      </x:c>
    </x:row>
    <x:row r="31" ht="15" hidden="0" customHeight="1">
      <x:c r="A31" s="13" t="str">
        <x:v>1VSC_I7rydk</x:v>
      </x:c>
      <x:c r="B31" s="13" t="str">
        <x:v>Trading Strategy Moving Averages | Stocks for Breakfast 3 12 20</x:v>
      </x:c>
      <x:c r="C31" s="14" t="d">
        <x:v>2020-03-12T00:00:00.000Z</x:v>
      </x:c>
      <x:c r="D31" s="18" t="e">
        <x:f>HYPERLINK("https://www.youtube.com/watch?v=1VSC_I7rydk","Watch video")</x:f>
        <x:v>HYPERLINK is not implemented. linkLocation=https://www.youtube.com/watch?v=1VSC_I7rydk, friendlyName=Watch video</x:v>
      </x:c>
      <x:c r="E31" s="18" t="e">
        <x:f>HYPERLINK("transcripts/1VSC_I7rydk.html","Complete transcript")</x:f>
        <x:v>HYPERLINK is not implemented. linkLocation=transcripts/1VSC_I7rydk.html, friendlyName=Complete transcript</x:v>
      </x:c>
      <x:c r="F31" s="13" t="str">
        <x:v>UNKNOWN_REQUIRES_REVIEW</x:v>
      </x:c>
      <x:c r="G31" s="17" t="str">
        <x:v>UNREVIEWED</x:v>
      </x:c>
      <x:c r="H31" s="17" t="str"/>
      <x:c r="I31" s="17" t="str"/>
      <x:c r="J31" s="17" t="str"/>
      <x:c r="K31" s="17" t="str"/>
      <x:c r="L31" s="17" t="str"/>
      <x:c r="M31" s="17" t="str">
        <x:v>PENDING WHOLE-VIDEO REVIEW</x:v>
      </x:c>
      <x:c r="N31" s="15" t="n">
        <x:v>541</x:v>
      </x:c>
      <x:c r="O31" s="15" t="n">
        <x:v>3933</x:v>
      </x:c>
      <x:c r="P31" s="15" t="n">
        <x:v>1242</x:v>
      </x:c>
      <x:c r="Q31" s="13" t="str">
        <x:v>NO_LARGE_TAIL_GAP</x:v>
      </x:c>
      <x:c r="R31" s="13" t="str"/>
      <x:c r="S31" s="16" t="n">
        <x:v>0</x:v>
      </x:c>
      <x:c r="T31" s="13" t="str">
        <x:v>f390bea0a2def39f89cbd2792063f29e0a610c33616a1139343e8832446d310a</x:v>
      </x:c>
    </x:row>
    <x:row r="32" ht="15" hidden="0" customHeight="1">
      <x:c r="A32" s="13" t="str">
        <x:v>1X37GHR_fAo</x:v>
      </x:c>
      <x:c r="B32" s="13" t="str">
        <x:v>Risk Reward | How To Know Which Stocks Should Be Profitable</x:v>
      </x:c>
      <x:c r="C32" s="14" t="d">
        <x:v>2020-05-27T00:00:00.000Z</x:v>
      </x:c>
      <x:c r="D32" s="18" t="e">
        <x:f>HYPERLINK("https://www.youtube.com/watch?v=1X37GHR_fAo","Watch video")</x:f>
        <x:v>HYPERLINK is not implemented. linkLocation=https://www.youtube.com/watch?v=1X37GHR_fAo, friendlyName=Watch video</x:v>
      </x:c>
      <x:c r="E32" s="18" t="e">
        <x:f>HYPERLINK("transcripts/1X37GHR_fAo.html","Complete transcript")</x:f>
        <x:v>HYPERLINK is not implemented. linkLocation=transcripts/1X37GHR_fAo.html, friendlyName=Complete transcript</x:v>
      </x:c>
      <x:c r="F32" s="13" t="str">
        <x:v>UNKNOWN_REQUIRES_REVIEW</x:v>
      </x:c>
      <x:c r="G32" s="17" t="str">
        <x:v>UNREVIEWED</x:v>
      </x:c>
      <x:c r="H32" s="17" t="str"/>
      <x:c r="I32" s="17" t="str"/>
      <x:c r="J32" s="17" t="str"/>
      <x:c r="K32" s="17" t="str"/>
      <x:c r="L32" s="17" t="str"/>
      <x:c r="M32" s="17" t="str">
        <x:v>PENDING WHOLE-VIDEO REVIEW</x:v>
      </x:c>
      <x:c r="N32" s="15" t="n">
        <x:v>434</x:v>
      </x:c>
      <x:c r="O32" s="15" t="n">
        <x:v>3024</x:v>
      </x:c>
      <x:c r="P32" s="15" t="n">
        <x:v>872</x:v>
      </x:c>
      <x:c r="Q32" s="13" t="str">
        <x:v>NO_LARGE_TAIL_GAP</x:v>
      </x:c>
      <x:c r="R32" s="13" t="str"/>
      <x:c r="S32" s="16" t="n">
        <x:v>0</x:v>
      </x:c>
      <x:c r="T32" s="13" t="str">
        <x:v>6d3a3207fdb048258b30f1965a9cbbad562879079e70b15a93e8a13624cba49b</x:v>
      </x:c>
    </x:row>
    <x:row r="33" ht="15" hidden="0" customHeight="1">
      <x:c r="A33" s="13" t="str">
        <x:v>1XLRTokozS4</x:v>
      </x:c>
      <x:c r="B33" s="13" t="str">
        <x:v>The Daily Ticker EP 14. The AI Bubble With David Trainer</x:v>
      </x:c>
      <x:c r="C33" s="14" t="d">
        <x:v>2023-06-06T00:00:00.000Z</x:v>
      </x:c>
      <x:c r="D33" s="18" t="e">
        <x:f>HYPERLINK("https://www.youtube.com/watch?v=1XLRTokozS4","Watch video")</x:f>
        <x:v>HYPERLINK is not implemented. linkLocation=https://www.youtube.com/watch?v=1XLRTokozS4, friendlyName=Watch video</x:v>
      </x:c>
      <x:c r="E33" s="18" t="e">
        <x:f>HYPERLINK("transcripts/1XLRTokozS4.html","Complete transcript")</x:f>
        <x:v>HYPERLINK is not implemented. linkLocation=transcripts/1XLRTokozS4.html, friendlyName=Complete transcript</x:v>
      </x:c>
      <x:c r="F33" s="13" t="str">
        <x:v>PETE_EXPLICIT</x:v>
      </x:c>
      <x:c r="G33" s="17" t="str">
        <x:v>UNREVIEWED</x:v>
      </x:c>
      <x:c r="H33" s="17" t="str"/>
      <x:c r="I33" s="17" t="str"/>
      <x:c r="J33" s="17" t="str"/>
      <x:c r="K33" s="17" t="str"/>
      <x:c r="L33" s="17" t="str"/>
      <x:c r="M33" s="17" t="str">
        <x:v>PENDING WHOLE-VIDEO REVIEW</x:v>
      </x:c>
      <x:c r="N33" s="15" t="n">
        <x:v>778</x:v>
      </x:c>
      <x:c r="O33" s="15" t="n">
        <x:v>5343</x:v>
      </x:c>
      <x:c r="P33" s="15" t="n">
        <x:v>1607</x:v>
      </x:c>
      <x:c r="Q33" s="13" t="str">
        <x:v>NO_LARGE_TAIL_GAP</x:v>
      </x:c>
      <x:c r="R33" s="13" t="str"/>
      <x:c r="S33" s="16" t="n">
        <x:v>0</x:v>
      </x:c>
      <x:c r="T33" s="13" t="str">
        <x:v>221421d5d3359f55ff95be3e00c37e2612112e2359d9d7b761cff58252a5f5a7</x:v>
      </x:c>
    </x:row>
    <x:row r="34" ht="15" hidden="0" customHeight="1">
      <x:c r="A34" s="13" t="str">
        <x:v>1kC9b2ukcmI</x:v>
      </x:c>
      <x:c r="B34" s="13" t="str">
        <x:v>Best Stock Picks Today | ZM Zoom Earnings Exceed Expectations 9-1-20</x:v>
      </x:c>
      <x:c r="C34" s="14" t="d">
        <x:v>2020-09-01T00:00:00.000Z</x:v>
      </x:c>
      <x:c r="D34" s="18" t="e">
        <x:f>HYPERLINK("https://www.youtube.com/watch?v=1kC9b2ukcmI","Watch video")</x:f>
        <x:v>HYPERLINK is not implemented. linkLocation=https://www.youtube.com/watch?v=1kC9b2ukcmI, friendlyName=Watch video</x:v>
      </x:c>
      <x:c r="E34" s="18" t="e">
        <x:f>HYPERLINK("transcripts/1kC9b2ukcmI.html","Complete transcript")</x:f>
        <x:v>HYPERLINK is not implemented. linkLocation=transcripts/1kC9b2ukcmI.html, friendlyName=Complete transcript</x:v>
      </x:c>
      <x:c r="F34" s="13" t="str">
        <x:v>PETE_EXPLICIT</x:v>
      </x:c>
      <x:c r="G34" s="17" t="str">
        <x:v>UNREVIEWED</x:v>
      </x:c>
      <x:c r="H34" s="17" t="str"/>
      <x:c r="I34" s="17" t="str"/>
      <x:c r="J34" s="17" t="str"/>
      <x:c r="K34" s="17" t="str"/>
      <x:c r="L34" s="17" t="str"/>
      <x:c r="M34" s="17" t="str">
        <x:v>PENDING WHOLE-VIDEO REVIEW</x:v>
      </x:c>
      <x:c r="N34" s="15" t="n">
        <x:v>453</x:v>
      </x:c>
      <x:c r="O34" s="15" t="n">
        <x:v>2855</x:v>
      </x:c>
      <x:c r="P34" s="15" t="n">
        <x:v>783</x:v>
      </x:c>
      <x:c r="Q34" s="13" t="str">
        <x:v>NO_LARGE_TAIL_GAP</x:v>
      </x:c>
      <x:c r="R34" s="13" t="str"/>
      <x:c r="S34" s="16" t="n">
        <x:v>0</x:v>
      </x:c>
      <x:c r="T34" s="13" t="str">
        <x:v>829a341b8b3bc06bc18d01b8febc964cdbb7bbd33e3182b3df5ada47d23ec260</x:v>
      </x:c>
    </x:row>
    <x:row r="35" ht="15" hidden="0" customHeight="1">
      <x:c r="A35" s="13" t="str">
        <x:v>1ktU4DAE210</x:v>
      </x:c>
      <x:c r="B35" s="13" t="str">
        <x:v>Unexpected Sector Rotation: Where Smart Money Shifted</x:v>
      </x:c>
      <x:c r="C35" s="14" t="d">
        <x:v>2026-02-17T00:00:00.000Z</x:v>
      </x:c>
      <x:c r="D35" s="18" t="e">
        <x:f>HYPERLINK("https://www.youtube.com/watch?v=1ktU4DAE210","Watch video")</x:f>
        <x:v>HYPERLINK is not implemented. linkLocation=https://www.youtube.com/watch?v=1ktU4DAE210, friendlyName=Watch video</x:v>
      </x:c>
      <x:c r="E35" s="18" t="e">
        <x:f>HYPERLINK("transcripts/1ktU4DAE210.html","Complete transcript")</x:f>
        <x:v>HYPERLINK is not implemented. linkLocation=transcripts/1ktU4DAE210.html, friendlyName=Complete transcript</x:v>
      </x:c>
      <x:c r="F35" s="13" t="str">
        <x:v>UNKNOWN_REQUIRES_REVIEW</x:v>
      </x:c>
      <x:c r="G35" s="17" t="str">
        <x:v>UNREVIEWED</x:v>
      </x:c>
      <x:c r="H35" s="17" t="str"/>
      <x:c r="I35" s="17" t="str"/>
      <x:c r="J35" s="17" t="str"/>
      <x:c r="K35" s="17" t="str"/>
      <x:c r="L35" s="17" t="str"/>
      <x:c r="M35" s="17" t="str">
        <x:v>PENDING WHOLE-VIDEO REVIEW</x:v>
      </x:c>
      <x:c r="N35" s="15" t="n">
        <x:v>185</x:v>
      </x:c>
      <x:c r="O35" s="15" t="n">
        <x:v>1247</x:v>
      </x:c>
      <x:c r="P35" s="15" t="n">
        <x:v>389</x:v>
      </x:c>
      <x:c r="Q35" s="13" t="str">
        <x:v>NO_LARGE_TAIL_GAP</x:v>
      </x:c>
      <x:c r="R35" s="13" t="str"/>
      <x:c r="S35" s="16" t="n">
        <x:v>0</x:v>
      </x:c>
      <x:c r="T35" s="13" t="str">
        <x:v>7958f8dd4511930eb3bc341def891a494b10b8dff249b247c8d3f2858c742ad0</x:v>
      </x:c>
    </x:row>
    <x:row r="36" ht="15" hidden="0" customHeight="1">
      <x:c r="A36" s="13" t="str">
        <x:v>1qRL7AVr6cc</x:v>
      </x:c>
      <x:c r="B36" s="13" t="str">
        <x:v>Day Trading Zero Percent Interest Rates | Stocks for Breakfast 3 16 20</x:v>
      </x:c>
      <x:c r="C36" s="14" t="d">
        <x:v>2020-03-16T00:00:00.000Z</x:v>
      </x:c>
      <x:c r="D36" s="18" t="e">
        <x:f>HYPERLINK("https://www.youtube.com/watch?v=1qRL7AVr6cc","Watch video")</x:f>
        <x:v>HYPERLINK is not implemented. linkLocation=https://www.youtube.com/watch?v=1qRL7AVr6cc, friendlyName=Watch video</x:v>
      </x:c>
      <x:c r="E36" s="18" t="e">
        <x:f>HYPERLINK("transcripts/1qRL7AVr6cc.html","Complete transcript")</x:f>
        <x:v>HYPERLINK is not implemented. linkLocation=transcripts/1qRL7AVr6cc.html, friendlyName=Complete transcript</x:v>
      </x:c>
      <x:c r="F36" s="13" t="str">
        <x:v>UNKNOWN_REQUIRES_REVIEW</x:v>
      </x:c>
      <x:c r="G36" s="17" t="str">
        <x:v>UNREVIEWED</x:v>
      </x:c>
      <x:c r="H36" s="17" t="str"/>
      <x:c r="I36" s="17" t="str"/>
      <x:c r="J36" s="17" t="str"/>
      <x:c r="K36" s="17" t="str"/>
      <x:c r="L36" s="17" t="str"/>
      <x:c r="M36" s="17" t="str">
        <x:v>PENDING WHOLE-VIDEO REVIEW</x:v>
      </x:c>
      <x:c r="N36" s="15" t="n">
        <x:v>773</x:v>
      </x:c>
      <x:c r="O36" s="15" t="n">
        <x:v>5585</x:v>
      </x:c>
      <x:c r="P36" s="15" t="n">
        <x:v>1640</x:v>
      </x:c>
      <x:c r="Q36" s="13" t="str">
        <x:v>NO_LARGE_TAIL_GAP</x:v>
      </x:c>
      <x:c r="R36" s="13" t="str"/>
      <x:c r="S36" s="16" t="n">
        <x:v>0</x:v>
      </x:c>
      <x:c r="T36" s="13" t="str">
        <x:v>a367c1ef896ae906a2ca87fb28c36d3949202e90346aabc81f53500c63ce2fc9</x:v>
      </x:c>
    </x:row>
    <x:row r="37" ht="15" hidden="0" customHeight="1">
      <x:c r="A37" s="13" t="str">
        <x:v>20kKE92ZrCk</x:v>
      </x:c>
      <x:c r="B37" s="13" t="str">
        <x:v>Trade Setup to Avoid | Stocks for Breakfast</x:v>
      </x:c>
      <x:c r="C37" s="14" t="d">
        <x:v>2020-12-07T00:00:00.000Z</x:v>
      </x:c>
      <x:c r="D37" s="18" t="e">
        <x:f>HYPERLINK("https://www.youtube.com/watch?v=20kKE92ZrCk","Watch video")</x:f>
        <x:v>HYPERLINK is not implemented. linkLocation=https://www.youtube.com/watch?v=20kKE92ZrCk, friendlyName=Watch video</x:v>
      </x:c>
      <x:c r="E37" s="18" t="e">
        <x:f>HYPERLINK("transcripts/20kKE92ZrCk.html","Complete transcript")</x:f>
        <x:v>HYPERLINK is not implemented. linkLocation=transcripts/20kKE92ZrCk.html, friendlyName=Complete transcript</x:v>
      </x:c>
      <x:c r="F37" s="13" t="str">
        <x:v>PETE_EXPLICIT</x:v>
      </x:c>
      <x:c r="G37" s="17" t="str">
        <x:v>UNREVIEWED</x:v>
      </x:c>
      <x:c r="H37" s="17" t="str"/>
      <x:c r="I37" s="17" t="str"/>
      <x:c r="J37" s="17" t="str"/>
      <x:c r="K37" s="17" t="str"/>
      <x:c r="L37" s="17" t="str"/>
      <x:c r="M37" s="17" t="str">
        <x:v>PENDING WHOLE-VIDEO REVIEW</x:v>
      </x:c>
      <x:c r="N37" s="15" t="n">
        <x:v>291</x:v>
      </x:c>
      <x:c r="O37" s="15" t="n">
        <x:v>1809</x:v>
      </x:c>
      <x:c r="P37" s="15" t="n">
        <x:v>526</x:v>
      </x:c>
      <x:c r="Q37" s="13" t="str">
        <x:v>NO_LARGE_TAIL_GAP</x:v>
      </x:c>
      <x:c r="R37" s="13" t="str"/>
      <x:c r="S37" s="16" t="n">
        <x:v>0</x:v>
      </x:c>
      <x:c r="T37" s="13" t="str">
        <x:v>11a00a754e0d2b2219d1e0a3819a8d90f44cbfc4cc6845c6f0b4a02258cc5601</x:v>
      </x:c>
    </x:row>
    <x:row r="38" ht="15" hidden="0" customHeight="1">
      <x:c r="A38" s="13" t="str">
        <x:v>22dfFU1hWFc</x:v>
      </x:c>
      <x:c r="B38" s="13" t="str">
        <x:v>Stock Trading 101: Calculate Share Size to Manage Risk</x:v>
      </x:c>
      <x:c r="C38" s="14" t="d">
        <x:v>2022-09-29T00:00:00.000Z</x:v>
      </x:c>
      <x:c r="D38" s="18" t="e">
        <x:f>HYPERLINK("https://www.youtube.com/watch?v=22dfFU1hWFc","Watch video")</x:f>
        <x:v>HYPERLINK is not implemented. linkLocation=https://www.youtube.com/watch?v=22dfFU1hWFc, friendlyName=Watch video</x:v>
      </x:c>
      <x:c r="E38" s="18" t="e">
        <x:f>HYPERLINK("transcripts/22dfFU1hWFc.html","Complete transcript")</x:f>
        <x:v>HYPERLINK is not implemented. linkLocation=transcripts/22dfFU1hWFc.html, friendlyName=Complete transcript</x:v>
      </x:c>
      <x:c r="F38" s="13" t="str">
        <x:v>PETE_EXPLICIT</x:v>
      </x:c>
      <x:c r="G38" s="17" t="str">
        <x:v>UNREVIEWED</x:v>
      </x:c>
      <x:c r="H38" s="17" t="str"/>
      <x:c r="I38" s="17" t="str"/>
      <x:c r="J38" s="17" t="str"/>
      <x:c r="K38" s="17" t="str"/>
      <x:c r="L38" s="17" t="str"/>
      <x:c r="M38" s="17" t="str">
        <x:v>PENDING WHOLE-VIDEO REVIEW</x:v>
      </x:c>
      <x:c r="N38" s="15" t="n">
        <x:v>291</x:v>
      </x:c>
      <x:c r="O38" s="15" t="n">
        <x:v>2100</x:v>
      </x:c>
      <x:c r="P38" s="15" t="n">
        <x:v>639</x:v>
      </x:c>
      <x:c r="Q38" s="13" t="str">
        <x:v>NO_LARGE_TAIL_GAP</x:v>
      </x:c>
      <x:c r="R38" s="13" t="str"/>
      <x:c r="S38" s="16" t="n">
        <x:v>0</x:v>
      </x:c>
      <x:c r="T38" s="13" t="str">
        <x:v>4a629fbab09c44cf1bc9372b6f323b55d72a052b1a5d82e5c1543cf0046d08be</x:v>
      </x:c>
    </x:row>
    <x:row r="39" ht="15" hidden="0" customHeight="1">
      <x:c r="A39" s="13" t="str">
        <x:v>27nutOADRpU</x:v>
      </x:c>
      <x:c r="B39" s="13" t="str">
        <x:v>Stocks for Breakfast | Trading Plan Step-By-Step</x:v>
      </x:c>
      <x:c r="C39" s="14" t="d">
        <x:v>2020-12-28T00:00:00.000Z</x:v>
      </x:c>
      <x:c r="D39" s="18" t="e">
        <x:f>HYPERLINK("https://www.youtube.com/watch?v=27nutOADRpU","Watch video")</x:f>
        <x:v>HYPERLINK is not implemented. linkLocation=https://www.youtube.com/watch?v=27nutOADRpU, friendlyName=Watch video</x:v>
      </x:c>
      <x:c r="E39" s="18" t="e">
        <x:f>HYPERLINK("transcripts/27nutOADRpU.html","Complete transcript")</x:f>
        <x:v>HYPERLINK is not implemented. linkLocation=transcripts/27nutOADRpU.html, friendlyName=Complete transcript</x:v>
      </x:c>
      <x:c r="F39" s="13" t="str">
        <x:v>PETE_EXPLICIT</x:v>
      </x:c>
      <x:c r="G39" s="17" t="str">
        <x:v>UNREVIEWED</x:v>
      </x:c>
      <x:c r="H39" s="17" t="str"/>
      <x:c r="I39" s="17" t="str"/>
      <x:c r="J39" s="17" t="str"/>
      <x:c r="K39" s="17" t="str"/>
      <x:c r="L39" s="17" t="str"/>
      <x:c r="M39" s="17" t="str">
        <x:v>PENDING WHOLE-VIDEO REVIEW</x:v>
      </x:c>
      <x:c r="N39" s="15" t="n">
        <x:v>471</x:v>
      </x:c>
      <x:c r="O39" s="15" t="n">
        <x:v>2975</x:v>
      </x:c>
      <x:c r="P39" s="15" t="n">
        <x:v>817</x:v>
      </x:c>
      <x:c r="Q39" s="13" t="str">
        <x:v>NO_LARGE_TAIL_GAP</x:v>
      </x:c>
      <x:c r="R39" s="13" t="str"/>
      <x:c r="S39" s="16" t="n">
        <x:v>0</x:v>
      </x:c>
      <x:c r="T39" s="13" t="str">
        <x:v>64dd4d1c4c8e3727df603832e6242f77bc3796a84b2ac27fc0ea3e3a042efdbb</x:v>
      </x:c>
    </x:row>
    <x:row r="40" ht="15" hidden="0" customHeight="1">
      <x:c r="A40" s="13" t="str">
        <x:v>2CgwuoLQLWU</x:v>
      </x:c>
      <x:c r="B40" s="13" t="str">
        <x:v>Butterfly Options: The Smart Way to Trade Earnings</x:v>
      </x:c>
      <x:c r="C40" s="14" t="d">
        <x:v>2025-09-03T00:00:00.000Z</x:v>
      </x:c>
      <x:c r="D40" s="18" t="e">
        <x:f>HYPERLINK("https://www.youtube.com/watch?v=2CgwuoLQLWU","Watch video")</x:f>
        <x:v>HYPERLINK is not implemented. linkLocation=https://www.youtube.com/watch?v=2CgwuoLQLWU, friendlyName=Watch video</x:v>
      </x:c>
      <x:c r="E40" s="18" t="e">
        <x:f>HYPERLINK("transcripts/2CgwuoLQLWU.html","Complete transcript")</x:f>
        <x:v>HYPERLINK is not implemented. linkLocation=transcripts/2CgwuoLQLWU.html, friendlyName=Complete transcript</x:v>
      </x:c>
      <x:c r="F40" s="13" t="str">
        <x:v>NON_PETE_EXPLICIT_JOHN</x:v>
      </x:c>
      <x:c r="G40" s="17" t="str">
        <x:v>UNREVIEWED</x:v>
      </x:c>
      <x:c r="H40" s="17" t="str"/>
      <x:c r="I40" s="17" t="str"/>
      <x:c r="J40" s="17" t="str"/>
      <x:c r="K40" s="17" t="str"/>
      <x:c r="L40" s="17" t="str"/>
      <x:c r="M40" s="17" t="str">
        <x:v>PENDING WHOLE-VIDEO REVIEW</x:v>
      </x:c>
      <x:c r="N40" s="15" t="n">
        <x:v>293</x:v>
      </x:c>
      <x:c r="O40" s="15" t="n">
        <x:v>2174</x:v>
      </x:c>
      <x:c r="P40" s="15" t="n">
        <x:v>665</x:v>
      </x:c>
      <x:c r="Q40" s="13" t="str">
        <x:v>NO_LARGE_TAIL_GAP</x:v>
      </x:c>
      <x:c r="R40" s="13" t="str"/>
      <x:c r="S40" s="16" t="n">
        <x:v>0</x:v>
      </x:c>
      <x:c r="T40" s="13" t="str">
        <x:v>486c488cd646885dcb730cc9ad8dad917aad29583f01460570793a6cf1427e61</x:v>
      </x:c>
    </x:row>
    <x:row r="41" ht="15" hidden="0" customHeight="1">
      <x:c r="A41" s="13" t="str">
        <x:v>2Mq3FCIwbjk</x:v>
      </x:c>
      <x:c r="B41" s="13" t="str">
        <x:v>Trading XPEV Earnings | Best Stock Picks Today 11-12-20</x:v>
      </x:c>
      <x:c r="C41" s="14" t="d">
        <x:v>2020-11-12T00:00:00.000Z</x:v>
      </x:c>
      <x:c r="D41" s="18" t="e">
        <x:f>HYPERLINK("https://www.youtube.com/watch?v=2Mq3FCIwbjk","Watch video")</x:f>
        <x:v>HYPERLINK is not implemented. linkLocation=https://www.youtube.com/watch?v=2Mq3FCIwbjk, friendlyName=Watch video</x:v>
      </x:c>
      <x:c r="E41" s="18" t="e">
        <x:f>HYPERLINK("transcripts/2Mq3FCIwbjk.html","Complete transcript")</x:f>
        <x:v>HYPERLINK is not implemented. linkLocation=transcripts/2Mq3FCIwbjk.html, friendlyName=Complete transcript</x:v>
      </x:c>
      <x:c r="F41" s="13" t="str">
        <x:v>PETE_EXPLICIT</x:v>
      </x:c>
      <x:c r="G41" s="17" t="str">
        <x:v>UNREVIEWED</x:v>
      </x:c>
      <x:c r="H41" s="17" t="str"/>
      <x:c r="I41" s="17" t="str"/>
      <x:c r="J41" s="17" t="str"/>
      <x:c r="K41" s="17" t="str"/>
      <x:c r="L41" s="17" t="str"/>
      <x:c r="M41" s="17" t="str">
        <x:v>PENDING WHOLE-VIDEO REVIEW</x:v>
      </x:c>
      <x:c r="N41" s="15" t="n">
        <x:v>381</x:v>
      </x:c>
      <x:c r="O41" s="15" t="n">
        <x:v>2353</x:v>
      </x:c>
      <x:c r="P41" s="15" t="n">
        <x:v>648</x:v>
      </x:c>
      <x:c r="Q41" s="13" t="str">
        <x:v>NO_LARGE_TAIL_GAP</x:v>
      </x:c>
      <x:c r="R41" s="13" t="str"/>
      <x:c r="S41" s="16" t="n">
        <x:v>0</x:v>
      </x:c>
      <x:c r="T41" s="13" t="str">
        <x:v>eb068fbffecdeb1c99f14b2fd062916121fcd3cce883ab6974baa7f53b2aed22</x:v>
      </x:c>
    </x:row>
    <x:row r="42" ht="15" hidden="0" customHeight="1">
      <x:c r="A42" s="13" t="str">
        <x:v>2hSbGvyMQgY</x:v>
      </x:c>
      <x:c r="B42" s="13" t="str">
        <x:v>How to Book Profitable Trades | Stocks for Breakfast</x:v>
      </x:c>
      <x:c r="C42" s="14" t="d">
        <x:v>2020-10-16T00:00:00.000Z</x:v>
      </x:c>
      <x:c r="D42" s="18" t="e">
        <x:f>HYPERLINK("https://www.youtube.com/watch?v=2hSbGvyMQgY","Watch video")</x:f>
        <x:v>HYPERLINK is not implemented. linkLocation=https://www.youtube.com/watch?v=2hSbGvyMQgY, friendlyName=Watch video</x:v>
      </x:c>
      <x:c r="E42" s="18" t="e">
        <x:f>HYPERLINK("transcripts/2hSbGvyMQgY.html","Complete transcript")</x:f>
        <x:v>HYPERLINK is not implemented. linkLocation=transcripts/2hSbGvyMQgY.html, friendlyName=Complete transcript</x:v>
      </x:c>
      <x:c r="F42" s="13" t="str">
        <x:v>PETE_EXPLICIT</x:v>
      </x:c>
      <x:c r="G42" s="17" t="str">
        <x:v>UNREVIEWED</x:v>
      </x:c>
      <x:c r="H42" s="17" t="str"/>
      <x:c r="I42" s="17" t="str"/>
      <x:c r="J42" s="17" t="str"/>
      <x:c r="K42" s="17" t="str"/>
      <x:c r="L42" s="17" t="str"/>
      <x:c r="M42" s="17" t="str">
        <x:v>PENDING WHOLE-VIDEO REVIEW</x:v>
      </x:c>
      <x:c r="N42" s="15" t="n">
        <x:v>539</x:v>
      </x:c>
      <x:c r="O42" s="15" t="n">
        <x:v>3457</x:v>
      </x:c>
      <x:c r="P42" s="15" t="n">
        <x:v>976</x:v>
      </x:c>
      <x:c r="Q42" s="13" t="str">
        <x:v>NO_LARGE_TAIL_GAP</x:v>
      </x:c>
      <x:c r="R42" s="13" t="str"/>
      <x:c r="S42" s="16" t="n">
        <x:v>0</x:v>
      </x:c>
      <x:c r="T42" s="13" t="str">
        <x:v>f3007b8e5f212cc1cb9d0b13d854d4678f73c231763b353aa98835c8483fecc1</x:v>
      </x:c>
    </x:row>
    <x:row r="43" ht="15" hidden="0" customHeight="1">
      <x:c r="A43" s="13" t="str">
        <x:v>2j29EbPB5iw</x:v>
      </x:c>
      <x:c r="B43" s="13" t="str">
        <x:v>Stock Trading Setups | Piggyback the Smart Money</x:v>
      </x:c>
      <x:c r="C43" s="14" t="d">
        <x:v>2020-09-01T00:00:00.000Z</x:v>
      </x:c>
      <x:c r="D43" s="18" t="e">
        <x:f>HYPERLINK("https://www.youtube.com/watch?v=2j29EbPB5iw","Watch video")</x:f>
        <x:v>HYPERLINK is not implemented. linkLocation=https://www.youtube.com/watch?v=2j29EbPB5iw, friendlyName=Watch video</x:v>
      </x:c>
      <x:c r="E43" s="18" t="e">
        <x:f>HYPERLINK("transcripts/2j29EbPB5iw.html","Complete transcript")</x:f>
        <x:v>HYPERLINK is not implemented. linkLocation=transcripts/2j29EbPB5iw.html, friendlyName=Complete transcript</x:v>
      </x:c>
      <x:c r="F43" s="13" t="str">
        <x:v>PETE_EXPLICIT</x:v>
      </x:c>
      <x:c r="G43" s="17" t="str">
        <x:v>UNREVIEWED</x:v>
      </x:c>
      <x:c r="H43" s="17" t="str"/>
      <x:c r="I43" s="17" t="str"/>
      <x:c r="J43" s="17" t="str"/>
      <x:c r="K43" s="17" t="str"/>
      <x:c r="L43" s="17" t="str"/>
      <x:c r="M43" s="17" t="str">
        <x:v>PENDING WHOLE-VIDEO REVIEW</x:v>
      </x:c>
      <x:c r="N43" s="15" t="n">
        <x:v>480</x:v>
      </x:c>
      <x:c r="O43" s="15" t="n">
        <x:v>2990</x:v>
      </x:c>
      <x:c r="P43" s="15" t="n">
        <x:v>852</x:v>
      </x:c>
      <x:c r="Q43" s="13" t="str">
        <x:v>NO_LARGE_TAIL_GAP</x:v>
      </x:c>
      <x:c r="R43" s="13" t="str"/>
      <x:c r="S43" s="16" t="n">
        <x:v>0</x:v>
      </x:c>
      <x:c r="T43" s="13" t="str">
        <x:v>1ca2840c1896ea98b4a0cab939b26ef14b42dc060734c98caaaef28236c8322c</x:v>
      </x:c>
    </x:row>
    <x:row r="44" ht="15" hidden="0" customHeight="1">
      <x:c r="A44" s="13" t="str">
        <x:v>2pmYj-Gqm1k</x:v>
      </x:c>
      <x:c r="B44" s="13" t="str">
        <x:v>Best Stocks for Swing Trading 2021 | New Strategy</x:v>
      </x:c>
      <x:c r="C44" s="14" t="d">
        <x:v>2020-08-06T00:00:00.000Z</x:v>
      </x:c>
      <x:c r="D44" s="18" t="e">
        <x:f>HYPERLINK("https://www.youtube.com/watch?v=2pmYj-Gqm1k","Watch video")</x:f>
        <x:v>HYPERLINK is not implemented. linkLocation=https://www.youtube.com/watch?v=2pmYj-Gqm1k, friendlyName=Watch video</x:v>
      </x:c>
      <x:c r="E44" s="18" t="e">
        <x:f>HYPERLINK("transcripts/2pmYj-Gqm1k.html","Complete transcript")</x:f>
        <x:v>HYPERLINK is not implemented. linkLocation=transcripts/2pmYj-Gqm1k.html, friendlyName=Complete transcript</x:v>
      </x:c>
      <x:c r="F44" s="13" t="str">
        <x:v>PETE_EXPLICIT</x:v>
      </x:c>
      <x:c r="G44" s="17" t="str">
        <x:v>UNREVIEWED</x:v>
      </x:c>
      <x:c r="H44" s="17" t="str"/>
      <x:c r="I44" s="17" t="str"/>
      <x:c r="J44" s="17" t="str"/>
      <x:c r="K44" s="17" t="str"/>
      <x:c r="L44" s="17" t="str"/>
      <x:c r="M44" s="17" t="str">
        <x:v>PENDING WHOLE-VIDEO REVIEW</x:v>
      </x:c>
      <x:c r="N44" s="15" t="n">
        <x:v>624</x:v>
      </x:c>
      <x:c r="O44" s="15" t="n">
        <x:v>3982</x:v>
      </x:c>
      <x:c r="P44" s="15" t="n">
        <x:v>1095</x:v>
      </x:c>
      <x:c r="Q44" s="13" t="str">
        <x:v>NO_LARGE_TAIL_GAP</x:v>
      </x:c>
      <x:c r="R44" s="13" t="str"/>
      <x:c r="S44" s="16" t="n">
        <x:v>0</x:v>
      </x:c>
      <x:c r="T44" s="13" t="str">
        <x:v>7d3f95b97ba835369f39fc399df7c124ba62279fa105a15218a963d0d4e2c7f3</x:v>
      </x:c>
    </x:row>
    <x:row r="45" ht="15" hidden="0" customHeight="1">
      <x:c r="A45" s="13" t="str">
        <x:v>2xOBt7TdmZ8</x:v>
      </x:c>
      <x:c r="B45" s="13" t="str">
        <x:v>Chart Reading 101 | Multiple Time Frame Analysis</x:v>
      </x:c>
      <x:c r="C45" s="14" t="d">
        <x:v>2020-06-08T00:00:00.000Z</x:v>
      </x:c>
      <x:c r="D45" s="18" t="e">
        <x:f>HYPERLINK("https://www.youtube.com/watch?v=2xOBt7TdmZ8","Watch video")</x:f>
        <x:v>HYPERLINK is not implemented. linkLocation=https://www.youtube.com/watch?v=2xOBt7TdmZ8, friendlyName=Watch video</x:v>
      </x:c>
      <x:c r="E45" s="18" t="e">
        <x:f>HYPERLINK("transcripts/2xOBt7TdmZ8.html","Complete transcript")</x:f>
        <x:v>HYPERLINK is not implemented. linkLocation=transcripts/2xOBt7TdmZ8.html, friendlyName=Complete transcript</x:v>
      </x:c>
      <x:c r="F45" s="13" t="str">
        <x:v>UNKNOWN_REQUIRES_REVIEW</x:v>
      </x:c>
      <x:c r="G45" s="17" t="str">
        <x:v>UNREVIEWED</x:v>
      </x:c>
      <x:c r="H45" s="17" t="str"/>
      <x:c r="I45" s="17" t="str"/>
      <x:c r="J45" s="17" t="str"/>
      <x:c r="K45" s="17" t="str"/>
      <x:c r="L45" s="17" t="str"/>
      <x:c r="M45" s="17" t="str">
        <x:v>PENDING WHOLE-VIDEO REVIEW</x:v>
      </x:c>
      <x:c r="N45" s="15" t="n">
        <x:v>413</x:v>
      </x:c>
      <x:c r="O45" s="15" t="n">
        <x:v>3001</x:v>
      </x:c>
      <x:c r="P45" s="15" t="n">
        <x:v>884</x:v>
      </x:c>
      <x:c r="Q45" s="13" t="str">
        <x:v>NO_LARGE_TAIL_GAP</x:v>
      </x:c>
      <x:c r="R45" s="13" t="str"/>
      <x:c r="S45" s="16" t="n">
        <x:v>0</x:v>
      </x:c>
      <x:c r="T45" s="13" t="str">
        <x:v>ba2577bcfb377b2e58009e171564a28297401a042f05c041c671915c79cb2d00</x:v>
      </x:c>
    </x:row>
    <x:row r="46" ht="15" hidden="0" customHeight="1">
      <x:c r="A46" s="13" t="str">
        <x:v>2y02eGJRLyA</x:v>
      </x:c>
      <x:c r="B46" s="13" t="str">
        <x:v>Stocks to Trade | Friday May 1, 2015 | LNKD Earnings</x:v>
      </x:c>
      <x:c r="C46" s="14" t="d">
        <x:v>2015-05-01T00:00:00.000Z</x:v>
      </x:c>
      <x:c r="D46" s="18" t="e">
        <x:f>HYPERLINK("https://www.youtube.com/watch?v=2y02eGJRLyA","Watch video")</x:f>
        <x:v>HYPERLINK is not implemented. linkLocation=https://www.youtube.com/watch?v=2y02eGJRLyA, friendlyName=Watch video</x:v>
      </x:c>
      <x:c r="E46" s="18" t="e">
        <x:f>HYPERLINK("transcripts/2y02eGJRLyA.html","Complete transcript")</x:f>
        <x:v>HYPERLINK is not implemented. linkLocation=transcripts/2y02eGJRLyA.html, friendlyName=Complete transcript</x:v>
      </x:c>
      <x:c r="F46" s="13" t="str">
        <x:v>UNKNOWN_REQUIRES_REVIEW</x:v>
      </x:c>
      <x:c r="G46" s="17" t="str">
        <x:v>UNREVIEWED</x:v>
      </x:c>
      <x:c r="H46" s="17" t="str"/>
      <x:c r="I46" s="17" t="str"/>
      <x:c r="J46" s="17" t="str"/>
      <x:c r="K46" s="17" t="str"/>
      <x:c r="L46" s="17" t="str"/>
      <x:c r="M46" s="17" t="str">
        <x:v>PENDING WHOLE-VIDEO REVIEW</x:v>
      </x:c>
      <x:c r="N46" s="15" t="n">
        <x:v>1368</x:v>
      </x:c>
      <x:c r="O46" s="15" t="n">
        <x:v>9373</x:v>
      </x:c>
      <x:c r="P46" s="15" t="n">
        <x:v>3708</x:v>
      </x:c>
      <x:c r="Q46" s="13" t="str">
        <x:v>NO_LARGE_TAIL_GAP</x:v>
      </x:c>
      <x:c r="R46" s="13" t="str"/>
      <x:c r="S46" s="16" t="n">
        <x:v>0</x:v>
      </x:c>
      <x:c r="T46" s="13" t="str">
        <x:v>c75a5b7eae20a26d3c0e9295f3642da10bb075966aae75c5d93b3b2e8a69e36e</x:v>
      </x:c>
    </x:row>
    <x:row r="47" ht="15" hidden="0" customHeight="1">
      <x:c r="A47" s="13" t="str">
        <x:v>30ZbAYQDh6M</x:v>
      </x:c>
      <x:c r="B47" s="13" t="str">
        <x:v>Casino Stocks 8-12-20 | Best Stock Picks Today</x:v>
      </x:c>
      <x:c r="C47" s="14" t="d">
        <x:v>2020-08-12T00:00:00.000Z</x:v>
      </x:c>
      <x:c r="D47" s="18" t="e">
        <x:f>HYPERLINK("https://www.youtube.com/watch?v=30ZbAYQDh6M","Watch video")</x:f>
        <x:v>HYPERLINK is not implemented. linkLocation=https://www.youtube.com/watch?v=30ZbAYQDh6M, friendlyName=Watch video</x:v>
      </x:c>
      <x:c r="E47" s="18" t="e">
        <x:f>HYPERLINK("transcripts/30ZbAYQDh6M.html","Complete transcript")</x:f>
        <x:v>HYPERLINK is not implemented. linkLocation=transcripts/30ZbAYQDh6M.html, friendlyName=Complete transcript</x:v>
      </x:c>
      <x:c r="F47" s="13" t="str">
        <x:v>PETE_EXPLICIT</x:v>
      </x:c>
      <x:c r="G47" s="17" t="str">
        <x:v>UNREVIEWED</x:v>
      </x:c>
      <x:c r="H47" s="17" t="str"/>
      <x:c r="I47" s="17" t="str"/>
      <x:c r="J47" s="17" t="str"/>
      <x:c r="K47" s="17" t="str"/>
      <x:c r="L47" s="17" t="str"/>
      <x:c r="M47" s="17" t="str">
        <x:v>PENDING WHOLE-VIDEO REVIEW</x:v>
      </x:c>
      <x:c r="N47" s="15" t="n">
        <x:v>543</x:v>
      </x:c>
      <x:c r="O47" s="15" t="n">
        <x:v>3381</x:v>
      </x:c>
      <x:c r="P47" s="15" t="n">
        <x:v>953</x:v>
      </x:c>
      <x:c r="Q47" s="13" t="str">
        <x:v>NO_LARGE_TAIL_GAP</x:v>
      </x:c>
      <x:c r="R47" s="13" t="str"/>
      <x:c r="S47" s="16" t="n">
        <x:v>0</x:v>
      </x:c>
      <x:c r="T47" s="13" t="str">
        <x:v>f2c69b7d36bd900f88190d304d8949a43219a0656455443136e7bc05299e846e</x:v>
      </x:c>
    </x:row>
    <x:row r="48" ht="15" hidden="0" customHeight="1">
      <x:c r="A48" s="13" t="str">
        <x:v>35uIWdUORvI</x:v>
      </x:c>
      <x:c r="B48" s="13" t="str">
        <x:v>RIOT Stock News Bitcoin Mining Company | Best Stock Picks Today 2-16-21</x:v>
      </x:c>
      <x:c r="C48" s="14" t="d">
        <x:v>2021-02-16T00:00:00.000Z</x:v>
      </x:c>
      <x:c r="D48" s="18" t="e">
        <x:f>HYPERLINK("https://www.youtube.com/watch?v=35uIWdUORvI","Watch video")</x:f>
        <x:v>HYPERLINK is not implemented. linkLocation=https://www.youtube.com/watch?v=35uIWdUORvI, friendlyName=Watch video</x:v>
      </x:c>
      <x:c r="E48" s="18" t="e">
        <x:f>HYPERLINK("transcripts/35uIWdUORvI.html","Complete transcript")</x:f>
        <x:v>HYPERLINK is not implemented. linkLocation=transcripts/35uIWdUORvI.html, friendlyName=Complete transcript</x:v>
      </x:c>
      <x:c r="F48" s="13" t="str">
        <x:v>PETE_EXPLICIT</x:v>
      </x:c>
      <x:c r="G48" s="17" t="str">
        <x:v>UNREVIEWED</x:v>
      </x:c>
      <x:c r="H48" s="17" t="str"/>
      <x:c r="I48" s="17" t="str"/>
      <x:c r="J48" s="17" t="str"/>
      <x:c r="K48" s="17" t="str"/>
      <x:c r="L48" s="17" t="str"/>
      <x:c r="M48" s="17" t="str">
        <x:v>PENDING WHOLE-VIDEO REVIEW</x:v>
      </x:c>
      <x:c r="N48" s="15" t="n">
        <x:v>314</x:v>
      </x:c>
      <x:c r="O48" s="15" t="n">
        <x:v>1932</x:v>
      </x:c>
      <x:c r="P48" s="15" t="n">
        <x:v>545</x:v>
      </x:c>
      <x:c r="Q48" s="13" t="str">
        <x:v>NO_LARGE_TAIL_GAP</x:v>
      </x:c>
      <x:c r="R48" s="13" t="str"/>
      <x:c r="S48" s="16" t="n">
        <x:v>0</x:v>
      </x:c>
      <x:c r="T48" s="13" t="str">
        <x:v>96958689959fbabd0e7f7b556b4fdebc548516b4b38cdce58c13e48c082aa215</x:v>
      </x:c>
    </x:row>
    <x:row r="49" ht="15" hidden="0" customHeight="1">
      <x:c r="A49" s="13" t="str">
        <x:v>3FOQm-p8uWY</x:v>
      </x:c>
      <x:c r="B49" s="13" t="str">
        <x:v>Why People are Afraid of Learning Options - 3 Simple Solutions</x:v>
      </x:c>
      <x:c r="C49" s="14" t="d">
        <x:v>2024-07-09T00:00:00.000Z</x:v>
      </x:c>
      <x:c r="D49" s="18" t="e">
        <x:f>HYPERLINK("https://www.youtube.com/watch?v=3FOQm-p8uWY","Watch video")</x:f>
        <x:v>HYPERLINK is not implemented. linkLocation=https://www.youtube.com/watch?v=3FOQm-p8uWY, friendlyName=Watch video</x:v>
      </x:c>
      <x:c r="E49" s="18" t="e">
        <x:f>HYPERLINK("transcripts/3FOQm-p8uWY.html","Complete transcript")</x:f>
        <x:v>HYPERLINK is not implemented. linkLocation=transcripts/3FOQm-p8uWY.html, friendlyName=Complete transcript</x:v>
      </x:c>
      <x:c r="F49" s="13" t="str">
        <x:v>UNKNOWN_REQUIRES_REVIEW</x:v>
      </x:c>
      <x:c r="G49" s="17" t="str">
        <x:v>UNREVIEWED</x:v>
      </x:c>
      <x:c r="H49" s="17" t="str"/>
      <x:c r="I49" s="17" t="str"/>
      <x:c r="J49" s="17" t="str"/>
      <x:c r="K49" s="17" t="str"/>
      <x:c r="L49" s="17" t="str"/>
      <x:c r="M49" s="17" t="str">
        <x:v>PENDING WHOLE-VIDEO REVIEW</x:v>
      </x:c>
      <x:c r="N49" s="15" t="n">
        <x:v>378</x:v>
      </x:c>
      <x:c r="O49" s="15" t="n">
        <x:v>2856</x:v>
      </x:c>
      <x:c r="P49" s="15" t="n">
        <x:v>834</x:v>
      </x:c>
      <x:c r="Q49" s="13" t="str">
        <x:v>NO_LARGE_TAIL_GAP</x:v>
      </x:c>
      <x:c r="R49" s="13" t="str"/>
      <x:c r="S49" s="16" t="n">
        <x:v>0</x:v>
      </x:c>
      <x:c r="T49" s="13" t="str">
        <x:v>674ae6679d4dc14c08adbd6a0ef63e5bb62fad7501b6599277def85d6ad49b55</x:v>
      </x:c>
    </x:row>
    <x:row r="50" ht="15" hidden="0" customHeight="1">
      <x:c r="A50" s="13" t="str">
        <x:v>3G17zdZtrUM</x:v>
      </x:c>
      <x:c r="B50" s="13" t="str">
        <x:v>Best Stock Picks Today | Tesla Battery Day 9-22-20</x:v>
      </x:c>
      <x:c r="C50" s="14" t="d">
        <x:v>2020-09-22T00:00:00.000Z</x:v>
      </x:c>
      <x:c r="D50" s="18" t="e">
        <x:f>HYPERLINK("https://www.youtube.com/watch?v=3G17zdZtrUM","Watch video")</x:f>
        <x:v>HYPERLINK is not implemented. linkLocation=https://www.youtube.com/watch?v=3G17zdZtrUM, friendlyName=Watch video</x:v>
      </x:c>
      <x:c r="E50" s="18" t="e">
        <x:f>HYPERLINK("transcripts/3G17zdZtrUM.html","Complete transcript")</x:f>
        <x:v>HYPERLINK is not implemented. linkLocation=transcripts/3G17zdZtrUM.html, friendlyName=Complete transcript</x:v>
      </x:c>
      <x:c r="F50" s="13" t="str">
        <x:v>PETE_EXPLICIT</x:v>
      </x:c>
      <x:c r="G50" s="17" t="str">
        <x:v>UNREVIEWED</x:v>
      </x:c>
      <x:c r="H50" s="17" t="str"/>
      <x:c r="I50" s="17" t="str"/>
      <x:c r="J50" s="17" t="str"/>
      <x:c r="K50" s="17" t="str"/>
      <x:c r="L50" s="17" t="str"/>
      <x:c r="M50" s="17" t="str">
        <x:v>PENDING WHOLE-VIDEO REVIEW</x:v>
      </x:c>
      <x:c r="N50" s="15" t="n">
        <x:v>339</x:v>
      </x:c>
      <x:c r="O50" s="15" t="n">
        <x:v>2145</x:v>
      </x:c>
      <x:c r="P50" s="15" t="n">
        <x:v>622</x:v>
      </x:c>
      <x:c r="Q50" s="13" t="str">
        <x:v>NO_LARGE_TAIL_GAP</x:v>
      </x:c>
      <x:c r="R50" s="13" t="str"/>
      <x:c r="S50" s="16" t="n">
        <x:v>0</x:v>
      </x:c>
      <x:c r="T50" s="13" t="str">
        <x:v>7874e9b7aca826508cb3f20344f76f8ed4d00dac4689f35b101c1370ec13cbaf</x:v>
      </x:c>
    </x:row>
    <x:row r="51" ht="15" hidden="0" customHeight="1">
      <x:c r="A51" s="13" t="str">
        <x:v>3TRVHTTe53w</x:v>
      </x:c>
      <x:c r="B51" s="13" t="str">
        <x:v>AAPL Stock | Best Stock Picks Today 9-4-20</x:v>
      </x:c>
      <x:c r="C51" s="14" t="d">
        <x:v>2020-09-04T00:00:00.000Z</x:v>
      </x:c>
      <x:c r="D51" s="18" t="e">
        <x:f>HYPERLINK("https://www.youtube.com/watch?v=3TRVHTTe53w","Watch video")</x:f>
        <x:v>HYPERLINK is not implemented. linkLocation=https://www.youtube.com/watch?v=3TRVHTTe53w, friendlyName=Watch video</x:v>
      </x:c>
      <x:c r="E51" s="18" t="e">
        <x:f>HYPERLINK("transcripts/3TRVHTTe53w.html","Complete transcript")</x:f>
        <x:v>HYPERLINK is not implemented. linkLocation=transcripts/3TRVHTTe53w.html, friendlyName=Complete transcript</x:v>
      </x:c>
      <x:c r="F51" s="13" t="str">
        <x:v>PETE_EXPLICIT</x:v>
      </x:c>
      <x:c r="G51" s="17" t="str">
        <x:v>UNREVIEWED</x:v>
      </x:c>
      <x:c r="H51" s="17" t="str"/>
      <x:c r="I51" s="17" t="str"/>
      <x:c r="J51" s="17" t="str"/>
      <x:c r="K51" s="17" t="str"/>
      <x:c r="L51" s="17" t="str"/>
      <x:c r="M51" s="17" t="str">
        <x:v>PENDING WHOLE-VIDEO REVIEW</x:v>
      </x:c>
      <x:c r="N51" s="15" t="n">
        <x:v>445</x:v>
      </x:c>
      <x:c r="O51" s="15" t="n">
        <x:v>2746</x:v>
      </x:c>
      <x:c r="P51" s="15" t="n">
        <x:v>794</x:v>
      </x:c>
      <x:c r="Q51" s="13" t="str">
        <x:v>NO_LARGE_TAIL_GAP</x:v>
      </x:c>
      <x:c r="R51" s="13" t="str"/>
      <x:c r="S51" s="16" t="n">
        <x:v>0</x:v>
      </x:c>
      <x:c r="T51" s="13" t="str">
        <x:v>e426c9970c54b15da4eb07e64dc6456e93fdfd86c1766586765602dd423ed7dd</x:v>
      </x:c>
    </x:row>
    <x:row r="52" ht="15" hidden="0" customHeight="1">
      <x:c r="A52" s="13" t="str">
        <x:v>3aN5ts6wE4Q</x:v>
      </x:c>
      <x:c r="B52" s="13" t="str">
        <x:v>Trading Game Plan Meeting | How to Pick Winning Stocks</x:v>
      </x:c>
      <x:c r="C52" s="14" t="d">
        <x:v>2015-04-30T00:00:00.000Z</x:v>
      </x:c>
      <x:c r="D52" s="18" t="e">
        <x:f>HYPERLINK("https://www.youtube.com/watch?v=3aN5ts6wE4Q","Watch video")</x:f>
        <x:v>HYPERLINK is not implemented. linkLocation=https://www.youtube.com/watch?v=3aN5ts6wE4Q, friendlyName=Watch video</x:v>
      </x:c>
      <x:c r="E52" s="18" t="e">
        <x:f>HYPERLINK("transcripts/3aN5ts6wE4Q.html","Complete transcript")</x:f>
        <x:v>HYPERLINK is not implemented. linkLocation=transcripts/3aN5ts6wE4Q.html, friendlyName=Complete transcript</x:v>
      </x:c>
      <x:c r="F52" s="13" t="str">
        <x:v>PETE_EXPLICIT</x:v>
      </x:c>
      <x:c r="G52" s="17" t="str">
        <x:v>UNREVIEWED</x:v>
      </x:c>
      <x:c r="H52" s="17" t="str"/>
      <x:c r="I52" s="17" t="str"/>
      <x:c r="J52" s="17" t="str"/>
      <x:c r="K52" s="17" t="str"/>
      <x:c r="L52" s="17" t="str"/>
      <x:c r="M52" s="17" t="str">
        <x:v>PENDING WHOLE-VIDEO REVIEW</x:v>
      </x:c>
      <x:c r="N52" s="15" t="n">
        <x:v>514</x:v>
      </x:c>
      <x:c r="O52" s="15" t="n">
        <x:v>3726</x:v>
      </x:c>
      <x:c r="P52" s="15" t="n">
        <x:v>1152</x:v>
      </x:c>
      <x:c r="Q52" s="13" t="str">
        <x:v>NO_LARGE_TAIL_GAP</x:v>
      </x:c>
      <x:c r="R52" s="13" t="str"/>
      <x:c r="S52" s="16" t="n">
        <x:v>0</x:v>
      </x:c>
      <x:c r="T52" s="13" t="str">
        <x:v>32cbb6f2339a6db35f6bb73cb19bc1d8c3ce182fd535926fe27ddf2b0de6cc4a</x:v>
      </x:c>
    </x:row>
    <x:row r="53" ht="15" hidden="0" customHeight="1">
      <x:c r="A53" s="13" t="str">
        <x:v>3hPnY11vm2E</x:v>
      </x:c>
      <x:c r="B53" s="13" t="str">
        <x:v>Day Trading the Right Stocks | 7-28-20 Stocks for Breakfast</x:v>
      </x:c>
      <x:c r="C53" s="14" t="d">
        <x:v>2020-07-28T00:00:00.000Z</x:v>
      </x:c>
      <x:c r="D53" s="18" t="e">
        <x:f>HYPERLINK("https://www.youtube.com/watch?v=3hPnY11vm2E","Watch video")</x:f>
        <x:v>HYPERLINK is not implemented. linkLocation=https://www.youtube.com/watch?v=3hPnY11vm2E, friendlyName=Watch video</x:v>
      </x:c>
      <x:c r="E53" s="18" t="e">
        <x:f>HYPERLINK("transcripts/3hPnY11vm2E.html","Complete transcript")</x:f>
        <x:v>HYPERLINK is not implemented. linkLocation=transcripts/3hPnY11vm2E.html, friendlyName=Complete transcript</x:v>
      </x:c>
      <x:c r="F53" s="13" t="str">
        <x:v>UNKNOWN_REQUIRES_REVIEW</x:v>
      </x:c>
      <x:c r="G53" s="17" t="str">
        <x:v>UNREVIEWED</x:v>
      </x:c>
      <x:c r="H53" s="17" t="str"/>
      <x:c r="I53" s="17" t="str"/>
      <x:c r="J53" s="17" t="str"/>
      <x:c r="K53" s="17" t="str"/>
      <x:c r="L53" s="17" t="str"/>
      <x:c r="M53" s="17" t="str">
        <x:v>PENDING WHOLE-VIDEO REVIEW</x:v>
      </x:c>
      <x:c r="N53" s="15" t="n">
        <x:v>409</x:v>
      </x:c>
      <x:c r="O53" s="15" t="n">
        <x:v>2532</x:v>
      </x:c>
      <x:c r="P53" s="15" t="n">
        <x:v>740</x:v>
      </x:c>
      <x:c r="Q53" s="13" t="str">
        <x:v>NO_LARGE_TAIL_GAP</x:v>
      </x:c>
      <x:c r="R53" s="13" t="str"/>
      <x:c r="S53" s="16" t="n">
        <x:v>0</x:v>
      </x:c>
      <x:c r="T53" s="13" t="str">
        <x:v>4b4bdd6b8d70a7703f39d4fffdd0f757f27d9bbddaac99ccb5fd7f9bdbc534bc</x:v>
      </x:c>
    </x:row>
    <x:row r="54" ht="15" hidden="0" customHeight="1">
      <x:c r="A54" s="13" t="str">
        <x:v>3hp4lhAZdno</x:v>
      </x:c>
      <x:c r="B54" s="13" t="str">
        <x:v>BABA Stock 5-22-20 | Best Stock Picks Today</x:v>
      </x:c>
      <x:c r="C54" s="14" t="d">
        <x:v>2020-05-22T00:00:00.000Z</x:v>
      </x:c>
      <x:c r="D54" s="18" t="e">
        <x:f>HYPERLINK("https://www.youtube.com/watch?v=3hp4lhAZdno","Watch video")</x:f>
        <x:v>HYPERLINK is not implemented. linkLocation=https://www.youtube.com/watch?v=3hp4lhAZdno, friendlyName=Watch video</x:v>
      </x:c>
      <x:c r="E54" s="18" t="e">
        <x:f>HYPERLINK("transcripts/3hp4lhAZdno.html","Complete transcript")</x:f>
        <x:v>HYPERLINK is not implemented. linkLocation=transcripts/3hp4lhAZdno.html, friendlyName=Complete transcript</x:v>
      </x:c>
      <x:c r="F54" s="13" t="str">
        <x:v>PETE_EXPLICIT</x:v>
      </x:c>
      <x:c r="G54" s="17" t="str">
        <x:v>UNREVIEWED</x:v>
      </x:c>
      <x:c r="H54" s="17" t="str"/>
      <x:c r="I54" s="17" t="str"/>
      <x:c r="J54" s="17" t="str"/>
      <x:c r="K54" s="17" t="str"/>
      <x:c r="L54" s="17" t="str"/>
      <x:c r="M54" s="17" t="str">
        <x:v>PENDING WHOLE-VIDEO REVIEW</x:v>
      </x:c>
      <x:c r="N54" s="15" t="n">
        <x:v>248</x:v>
      </x:c>
      <x:c r="O54" s="15" t="n">
        <x:v>1783</x:v>
      </x:c>
      <x:c r="P54" s="15" t="n">
        <x:v>542</x:v>
      </x:c>
      <x:c r="Q54" s="13" t="str">
        <x:v>NO_LARGE_TAIL_GAP</x:v>
      </x:c>
      <x:c r="R54" s="13" t="str"/>
      <x:c r="S54" s="16" t="n">
        <x:v>0</x:v>
      </x:c>
      <x:c r="T54" s="13" t="str">
        <x:v>e85b9cd529882577c50202461a9d4b6152620df384c8726adece5d5c00f7e875</x:v>
      </x:c>
    </x:row>
    <x:row r="55" ht="15" hidden="0" customHeight="1">
      <x:c r="A55" s="13" t="str">
        <x:v>3lalgJPadGA</x:v>
      </x:c>
      <x:c r="B55" s="13" t="str">
        <x:v>My Simple Stock Trading Strategy for Beginners</x:v>
      </x:c>
      <x:c r="C55" s="14" t="d">
        <x:v>2020-05-14T00:00:00.000Z</x:v>
      </x:c>
      <x:c r="D55" s="18" t="e">
        <x:f>HYPERLINK("https://www.youtube.com/watch?v=3lalgJPadGA","Watch video")</x:f>
        <x:v>HYPERLINK is not implemented. linkLocation=https://www.youtube.com/watch?v=3lalgJPadGA, friendlyName=Watch video</x:v>
      </x:c>
      <x:c r="E55" s="18" t="e">
        <x:f>HYPERLINK("transcripts/3lalgJPadGA.html","Complete transcript")</x:f>
        <x:v>HYPERLINK is not implemented. linkLocation=transcripts/3lalgJPadGA.html, friendlyName=Complete transcript</x:v>
      </x:c>
      <x:c r="F55" s="13" t="str">
        <x:v>PETE_EXPLICIT</x:v>
      </x:c>
      <x:c r="G55" s="17" t="str">
        <x:v>UNREVIEWED</x:v>
      </x:c>
      <x:c r="H55" s="17" t="str"/>
      <x:c r="I55" s="17" t="str"/>
      <x:c r="J55" s="17" t="str"/>
      <x:c r="K55" s="17" t="str"/>
      <x:c r="L55" s="17" t="str"/>
      <x:c r="M55" s="17" t="str">
        <x:v>PENDING WHOLE-VIDEO REVIEW</x:v>
      </x:c>
      <x:c r="N55" s="15" t="n">
        <x:v>469</x:v>
      </x:c>
      <x:c r="O55" s="15" t="n">
        <x:v>3437</x:v>
      </x:c>
      <x:c r="P55" s="15" t="n">
        <x:v>998</x:v>
      </x:c>
      <x:c r="Q55" s="13" t="str">
        <x:v>NO_LARGE_TAIL_GAP</x:v>
      </x:c>
      <x:c r="R55" s="13" t="str"/>
      <x:c r="S55" s="16" t="n">
        <x:v>0</x:v>
      </x:c>
      <x:c r="T55" s="13" t="str">
        <x:v>bf5f73e7bc0194ff8853c701f5f15758b1c36260ce69e3bb262822a8f57c351e</x:v>
      </x:c>
    </x:row>
    <x:row r="56" ht="15" hidden="0" customHeight="1">
      <x:c r="A56" s="13" t="str">
        <x:v>3rvkUDN-AeY</x:v>
      </x:c>
      <x:c r="B56" s="13" t="str">
        <x:v>The Daily Ticker: Meme Stocks vs Value Plays</x:v>
      </x:c>
      <x:c r="C56" s="14" t="d">
        <x:v>2023-08-17T00:00:00.000Z</x:v>
      </x:c>
      <x:c r="D56" s="18" t="e">
        <x:f>HYPERLINK("https://www.youtube.com/watch?v=3rvkUDN-AeY","Watch video")</x:f>
        <x:v>HYPERLINK is not implemented. linkLocation=https://www.youtube.com/watch?v=3rvkUDN-AeY, friendlyName=Watch video</x:v>
      </x:c>
      <x:c r="E56" s="18" t="e">
        <x:f>HYPERLINK("transcripts/3rvkUDN-AeY.html","Complete transcript")</x:f>
        <x:v>HYPERLINK is not implemented. linkLocation=transcripts/3rvkUDN-AeY.html, friendlyName=Complete transcript</x:v>
      </x:c>
      <x:c r="F56" s="13" t="str">
        <x:v>GUEST_OR_INTERVIEW</x:v>
      </x:c>
      <x:c r="G56" s="17" t="str">
        <x:v>UNREVIEWED</x:v>
      </x:c>
      <x:c r="H56" s="17" t="str"/>
      <x:c r="I56" s="17" t="str"/>
      <x:c r="J56" s="17" t="str"/>
      <x:c r="K56" s="17" t="str"/>
      <x:c r="L56" s="17" t="str"/>
      <x:c r="M56" s="17" t="str">
        <x:v>PENDING WHOLE-VIDEO REVIEW</x:v>
      </x:c>
      <x:c r="N56" s="15" t="n">
        <x:v>758</x:v>
      </x:c>
      <x:c r="O56" s="15" t="n">
        <x:v>5228</x:v>
      </x:c>
      <x:c r="P56" s="15" t="n">
        <x:v>1533</x:v>
      </x:c>
      <x:c r="Q56" s="13" t="str">
        <x:v>NO_LARGE_TAIL_GAP</x:v>
      </x:c>
      <x:c r="R56" s="13" t="str"/>
      <x:c r="S56" s="16" t="n">
        <x:v>0</x:v>
      </x:c>
      <x:c r="T56" s="13" t="str">
        <x:v>7fced4de33b9e5a10c929e34bfb19f4124f7b43c99ecd6d083d6b87688a620f6</x:v>
      </x:c>
    </x:row>
    <x:row r="57" ht="15" hidden="0" customHeight="1">
      <x:c r="A57" s="13" t="str">
        <x:v>3tiKR0-R-7c</x:v>
      </x:c>
      <x:c r="B57" s="13" t="str">
        <x:v>The Daily Ticker: Value Investing 2.0 David Trainer</x:v>
      </x:c>
      <x:c r="C57" s="14" t="d">
        <x:v>2023-07-06T00:00:00.000Z</x:v>
      </x:c>
      <x:c r="D57" s="18" t="e">
        <x:f>HYPERLINK("https://www.youtube.com/watch?v=3tiKR0-R-7c","Watch video")</x:f>
        <x:v>HYPERLINK is not implemented. linkLocation=https://www.youtube.com/watch?v=3tiKR0-R-7c, friendlyName=Watch video</x:v>
      </x:c>
      <x:c r="E57" s="18" t="e">
        <x:f>HYPERLINK("transcripts/3tiKR0-R-7c.html","Complete transcript")</x:f>
        <x:v>HYPERLINK is not implemented. linkLocation=transcripts/3tiKR0-R-7c.html, friendlyName=Complete transcript</x:v>
      </x:c>
      <x:c r="F57" s="13" t="str">
        <x:v>GUEST_OR_INTERVIEW</x:v>
      </x:c>
      <x:c r="G57" s="17" t="str">
        <x:v>UNREVIEWED</x:v>
      </x:c>
      <x:c r="H57" s="17" t="str"/>
      <x:c r="I57" s="17" t="str"/>
      <x:c r="J57" s="17" t="str"/>
      <x:c r="K57" s="17" t="str"/>
      <x:c r="L57" s="17" t="str"/>
      <x:c r="M57" s="17" t="str">
        <x:v>PENDING WHOLE-VIDEO REVIEW</x:v>
      </x:c>
      <x:c r="N57" s="15" t="n">
        <x:v>852</x:v>
      </x:c>
      <x:c r="O57" s="15" t="n">
        <x:v>5845</x:v>
      </x:c>
      <x:c r="P57" s="15" t="n">
        <x:v>1741</x:v>
      </x:c>
      <x:c r="Q57" s="13" t="str">
        <x:v>NO_LARGE_TAIL_GAP</x:v>
      </x:c>
      <x:c r="R57" s="13" t="str"/>
      <x:c r="S57" s="16" t="n">
        <x:v>0</x:v>
      </x:c>
      <x:c r="T57" s="13" t="str">
        <x:v>0b996da371759749438ee2b0be46462f9a70a4c7fb24e069998d6744f4350d92</x:v>
      </x:c>
    </x:row>
    <x:row r="58" ht="15" hidden="0" customHeight="1">
      <x:c r="A58" s="13" t="str">
        <x:v>3wmF2fJ5o8c</x:v>
      </x:c>
      <x:c r="B58" s="13" t="str">
        <x:v>Best Stock  Picks Today | PLUG Power 1-7-21</x:v>
      </x:c>
      <x:c r="C58" s="14" t="d">
        <x:v>2021-01-07T00:00:00.000Z</x:v>
      </x:c>
      <x:c r="D58" s="18" t="e">
        <x:f>HYPERLINK("https://www.youtube.com/watch?v=3wmF2fJ5o8c","Watch video")</x:f>
        <x:v>HYPERLINK is not implemented. linkLocation=https://www.youtube.com/watch?v=3wmF2fJ5o8c, friendlyName=Watch video</x:v>
      </x:c>
      <x:c r="E58" s="18" t="e">
        <x:f>HYPERLINK("transcripts/3wmF2fJ5o8c.html","Complete transcript")</x:f>
        <x:v>HYPERLINK is not implemented. linkLocation=transcripts/3wmF2fJ5o8c.html, friendlyName=Complete transcript</x:v>
      </x:c>
      <x:c r="F58" s="13" t="str">
        <x:v>UNKNOWN_REQUIRES_REVIEW</x:v>
      </x:c>
      <x:c r="G58" s="17" t="str">
        <x:v>UNREVIEWED</x:v>
      </x:c>
      <x:c r="H58" s="17" t="str"/>
      <x:c r="I58" s="17" t="str"/>
      <x:c r="J58" s="17" t="str"/>
      <x:c r="K58" s="17" t="str"/>
      <x:c r="L58" s="17" t="str"/>
      <x:c r="M58" s="17" t="str">
        <x:v>PENDING WHOLE-VIDEO REVIEW</x:v>
      </x:c>
      <x:c r="N58" s="15" t="n">
        <x:v>522</x:v>
      </x:c>
      <x:c r="O58" s="15" t="n">
        <x:v>3237</x:v>
      </x:c>
      <x:c r="P58" s="15" t="n">
        <x:v>946</x:v>
      </x:c>
      <x:c r="Q58" s="13" t="str">
        <x:v>NO_LARGE_TAIL_GAP</x:v>
      </x:c>
      <x:c r="R58" s="13" t="str"/>
      <x:c r="S58" s="16" t="n">
        <x:v>0</x:v>
      </x:c>
      <x:c r="T58" s="13" t="str">
        <x:v>50d042991ae680639cbe43799815bbb54c9b54c8b11992ffb5f15e3189d49a75</x:v>
      </x:c>
    </x:row>
    <x:row r="59" ht="15" hidden="0" customHeight="1">
      <x:c r="A59" s="13" t="str">
        <x:v>3yUWaC_otWE</x:v>
      </x:c>
      <x:c r="B59" s="13" t="str">
        <x:v>Tech Stocks to Buy Today 5-7-20 | TWLO Earnings Trade</x:v>
      </x:c>
      <x:c r="C59" s="14" t="d">
        <x:v>2020-05-07T00:00:00.000Z</x:v>
      </x:c>
      <x:c r="D59" s="18" t="e">
        <x:f>HYPERLINK("https://www.youtube.com/watch?v=3yUWaC_otWE","Watch video")</x:f>
        <x:v>HYPERLINK is not implemented. linkLocation=https://www.youtube.com/watch?v=3yUWaC_otWE, friendlyName=Watch video</x:v>
      </x:c>
      <x:c r="E59" s="18" t="e">
        <x:f>HYPERLINK("transcripts/3yUWaC_otWE.html","Complete transcript")</x:f>
        <x:v>HYPERLINK is not implemented. linkLocation=transcripts/3yUWaC_otWE.html, friendlyName=Complete transcript</x:v>
      </x:c>
      <x:c r="F59" s="13" t="str">
        <x:v>PETE_EXPLICIT</x:v>
      </x:c>
      <x:c r="G59" s="17" t="str">
        <x:v>UNREVIEWED</x:v>
      </x:c>
      <x:c r="H59" s="17" t="str"/>
      <x:c r="I59" s="17" t="str"/>
      <x:c r="J59" s="17" t="str"/>
      <x:c r="K59" s="17" t="str"/>
      <x:c r="L59" s="17" t="str"/>
      <x:c r="M59" s="17" t="str">
        <x:v>PENDING WHOLE-VIDEO REVIEW</x:v>
      </x:c>
      <x:c r="N59" s="15" t="n">
        <x:v>309</x:v>
      </x:c>
      <x:c r="O59" s="15" t="n">
        <x:v>2195</x:v>
      </x:c>
      <x:c r="P59" s="15" t="n">
        <x:v>673</x:v>
      </x:c>
      <x:c r="Q59" s="13" t="str">
        <x:v>NO_LARGE_TAIL_GAP</x:v>
      </x:c>
      <x:c r="R59" s="13" t="str"/>
      <x:c r="S59" s="16" t="n">
        <x:v>0</x:v>
      </x:c>
      <x:c r="T59" s="13" t="str">
        <x:v>be94a9cbf49c297a65cfeced18b9af712d0fc75a225f4f6cf65cadebf3b4ae47</x:v>
      </x:c>
    </x:row>
    <x:row r="60" ht="15" hidden="0" customHeight="1">
      <x:c r="A60" s="13" t="str">
        <x:v>4238FMsQ1R4</x:v>
      </x:c>
      <x:c r="B60" s="13" t="str">
        <x:v>8: Reading The Stock Market Indexes</x:v>
      </x:c>
      <x:c r="C60" s="14" t="d">
        <x:v>2022-11-01T00:00:00.000Z</x:v>
      </x:c>
      <x:c r="D60" s="18" t="e">
        <x:f>HYPERLINK("https://www.youtube.com/watch?v=4238FMsQ1R4","Watch video")</x:f>
        <x:v>HYPERLINK is not implemented. linkLocation=https://www.youtube.com/watch?v=4238FMsQ1R4, friendlyName=Watch video</x:v>
      </x:c>
      <x:c r="E60" s="18" t="e">
        <x:f>HYPERLINK("transcripts/4238FMsQ1R4.html","Complete transcript")</x:f>
        <x:v>HYPERLINK is not implemented. linkLocation=transcripts/4238FMsQ1R4.html, friendlyName=Complete transcript</x:v>
      </x:c>
      <x:c r="F60" s="13" t="str">
        <x:v>UNKNOWN_REQUIRES_REVIEW</x:v>
      </x:c>
      <x:c r="G60" s="17" t="str">
        <x:v>Structured lesson excerpt</x:v>
      </x:c>
      <x:c r="H60" s="17" t="str">
        <x:v>Market-to-sector context</x:v>
      </x:c>
      <x:c r="I60" s="17" t="str">
        <x:v>Uses weekly index charts to establish the market foundation before examining sectors.</x:v>
      </x:c>
      <x:c r="J60" s="17" t="str">
        <x:v>Market context; tape reading; sector selection</x:v>
      </x:c>
      <x:c r="K60" s="17" t="str">
        <x:v>Fragment begins mid-explanation and ends at the next screen; not a complete course.</x:v>
      </x:c>
      <x:c r="L60" s="17" t="str">
        <x:v>Smart-money interpretation is the speaker’s inference; charts need visual checking.</x:v>
      </x:c>
      <x:c r="M60" s="17" t="str">
        <x:v>WHOLE TRANSCRIPT READ — visuals pending</x:v>
      </x:c>
      <x:c r="N60" s="15" t="n">
        <x:v>18</x:v>
      </x:c>
      <x:c r="O60" s="15" t="n">
        <x:v>130</x:v>
      </x:c>
      <x:c r="P60" s="15" t="n">
        <x:v>41</x:v>
      </x:c>
      <x:c r="Q60" s="13" t="str">
        <x:v>NO_LARGE_TAIL_GAP</x:v>
      </x:c>
      <x:c r="R60" s="13" t="str"/>
      <x:c r="S60" s="16" t="n">
        <x:v>2</x:v>
      </x:c>
      <x:c r="T60" s="13" t="str">
        <x:v>e5b968b60e06d49ee405b55db1f1ae174f3d426fbad6ad1e10eb7cc32eafb4fe</x:v>
      </x:c>
    </x:row>
    <x:row r="61" ht="15" hidden="0" customHeight="1">
      <x:c r="A61" s="13" t="str">
        <x:v>49K6FdC2Nw8</x:v>
      </x:c>
      <x:c r="B61" s="13" t="str">
        <x:v>The Perfect Time to Buy Energy Stocks?</x:v>
      </x:c>
      <x:c r="C61" s="14" t="d">
        <x:v>2024-10-04T00:00:00.000Z</x:v>
      </x:c>
      <x:c r="D61" s="18" t="e">
        <x:f>HYPERLINK("https://www.youtube.com/watch?v=49K6FdC2Nw8","Watch video")</x:f>
        <x:v>HYPERLINK is not implemented. linkLocation=https://www.youtube.com/watch?v=49K6FdC2Nw8, friendlyName=Watch video</x:v>
      </x:c>
      <x:c r="E61" s="18" t="e">
        <x:f>HYPERLINK("transcripts/49K6FdC2Nw8.html","Complete transcript")</x:f>
        <x:v>HYPERLINK is not implemented. linkLocation=transcripts/49K6FdC2Nw8.html, friendlyName=Complete transcript</x:v>
      </x:c>
      <x:c r="F61" s="13" t="str">
        <x:v>UNKNOWN_REQUIRES_REVIEW</x:v>
      </x:c>
      <x:c r="G61" s="17" t="str">
        <x:v>UNREVIEWED</x:v>
      </x:c>
      <x:c r="H61" s="17" t="str"/>
      <x:c r="I61" s="17" t="str"/>
      <x:c r="J61" s="17" t="str"/>
      <x:c r="K61" s="17" t="str"/>
      <x:c r="L61" s="17" t="str"/>
      <x:c r="M61" s="17" t="str">
        <x:v>PENDING WHOLE-VIDEO REVIEW</x:v>
      </x:c>
      <x:c r="N61" s="15" t="n">
        <x:v>591</x:v>
      </x:c>
      <x:c r="O61" s="15" t="n">
        <x:v>4328</x:v>
      </x:c>
      <x:c r="P61" s="15" t="n">
        <x:v>1232</x:v>
      </x:c>
      <x:c r="Q61" s="13" t="str">
        <x:v>NO_LARGE_TAIL_GAP</x:v>
      </x:c>
      <x:c r="R61" s="13" t="str"/>
      <x:c r="S61" s="16" t="n">
        <x:v>0</x:v>
      </x:c>
      <x:c r="T61" s="13" t="str">
        <x:v>5565c1ac2cafe63d9f1c3e3c6d5216619056f9aaebadef9aa27b166af19abf09</x:v>
      </x:c>
    </x:row>
    <x:row r="62" ht="15" hidden="0" customHeight="1">
      <x:c r="A62" s="13" t="str">
        <x:v>49dvOprfhr4</x:v>
      </x:c>
      <x:c r="B62" s="13" t="str">
        <x:v>Best Stock Picks Today | MSFT Swing Trade 12-28-20</x:v>
      </x:c>
      <x:c r="C62" s="14" t="d">
        <x:v>2020-12-29T00:00:00.000Z</x:v>
      </x:c>
      <x:c r="D62" s="18" t="e">
        <x:f>HYPERLINK("https://www.youtube.com/watch?v=49dvOprfhr4","Watch video")</x:f>
        <x:v>HYPERLINK is not implemented. linkLocation=https://www.youtube.com/watch?v=49dvOprfhr4, friendlyName=Watch video</x:v>
      </x:c>
      <x:c r="E62" s="18" t="e">
        <x:f>HYPERLINK("transcripts/49dvOprfhr4.html","Complete transcript")</x:f>
        <x:v>HYPERLINK is not implemented. linkLocation=transcripts/49dvOprfhr4.html, friendlyName=Complete transcript</x:v>
      </x:c>
      <x:c r="F62" s="13" t="str">
        <x:v>PETE_EXPLICIT</x:v>
      </x:c>
      <x:c r="G62" s="17" t="str">
        <x:v>UNREVIEWED</x:v>
      </x:c>
      <x:c r="H62" s="17" t="str"/>
      <x:c r="I62" s="17" t="str"/>
      <x:c r="J62" s="17" t="str"/>
      <x:c r="K62" s="17" t="str"/>
      <x:c r="L62" s="17" t="str"/>
      <x:c r="M62" s="17" t="str">
        <x:v>PENDING WHOLE-VIDEO REVIEW</x:v>
      </x:c>
      <x:c r="N62" s="15" t="n">
        <x:v>274</x:v>
      </x:c>
      <x:c r="O62" s="15" t="n">
        <x:v>1711</x:v>
      </x:c>
      <x:c r="P62" s="15" t="n">
        <x:v>471</x:v>
      </x:c>
      <x:c r="Q62" s="13" t="str">
        <x:v>NO_LARGE_TAIL_GAP</x:v>
      </x:c>
      <x:c r="R62" s="13" t="str"/>
      <x:c r="S62" s="16" t="n">
        <x:v>0</x:v>
      </x:c>
      <x:c r="T62" s="13" t="str">
        <x:v>8a9d59731f4a68dbacca89a48b2ad487903ec266f5fb695eda756b4837203bd0</x:v>
      </x:c>
    </x:row>
    <x:row r="63" ht="15" hidden="0" customHeight="1">
      <x:c r="A63" s="13" t="str">
        <x:v>4KlB8z67cvc</x:v>
      </x:c>
      <x:c r="B63" s="13" t="str">
        <x:v>Repeatable Day Trading Process Anyone Can Follow</x:v>
      </x:c>
      <x:c r="C63" s="14" t="d">
        <x:v>2026-04-25T00:00:00.000Z</x:v>
      </x:c>
      <x:c r="D63" s="18" t="e">
        <x:f>HYPERLINK("https://www.youtube.com/watch?v=4KlB8z67cvc","Watch video")</x:f>
        <x:v>HYPERLINK is not implemented. linkLocation=https://www.youtube.com/watch?v=4KlB8z67cvc, friendlyName=Watch video</x:v>
      </x:c>
      <x:c r="E63" s="18" t="e">
        <x:f>HYPERLINK("transcripts/4KlB8z67cvc.html","Complete transcript")</x:f>
        <x:v>HYPERLINK is not implemented. linkLocation=transcripts/4KlB8z67cvc.html, friendlyName=Complete transcript</x:v>
      </x:c>
      <x:c r="F63" s="13" t="str">
        <x:v>PETE_EXPLICIT</x:v>
      </x:c>
      <x:c r="G63" s="17" t="str">
        <x:v>UNREVIEWED</x:v>
      </x:c>
      <x:c r="H63" s="17" t="str"/>
      <x:c r="I63" s="17" t="str"/>
      <x:c r="J63" s="17" t="str"/>
      <x:c r="K63" s="17" t="str"/>
      <x:c r="L63" s="17" t="str"/>
      <x:c r="M63" s="17" t="str">
        <x:v>PENDING WHOLE-VIDEO REVIEW</x:v>
      </x:c>
      <x:c r="N63" s="15" t="n">
        <x:v>646</x:v>
      </x:c>
      <x:c r="O63" s="15" t="n">
        <x:v>4600</x:v>
      </x:c>
      <x:c r="P63" s="15" t="n">
        <x:v>1314</x:v>
      </x:c>
      <x:c r="Q63" s="13" t="str">
        <x:v>NO_LARGE_TAIL_GAP</x:v>
      </x:c>
      <x:c r="R63" s="13" t="str"/>
      <x:c r="S63" s="16" t="n">
        <x:v>0</x:v>
      </x:c>
      <x:c r="T63" s="13" t="str">
        <x:v>1d4687570a740543a41051b9996e46f1737e110c7d842fdc9d73f64de266ed87</x:v>
      </x:c>
    </x:row>
    <x:row r="64" ht="15" hidden="0" customHeight="1">
      <x:c r="A64" s="13" t="str">
        <x:v>4PvpQQzNXJc</x:v>
      </x:c>
      <x:c r="B64" s="13" t="str">
        <x:v>Bear Put Spread | Options Strategy | Coinbase Tutorial</x:v>
      </x:c>
      <x:c r="C64" s="14" t="d">
        <x:v>2025-08-21T00:00:00.000Z</x:v>
      </x:c>
      <x:c r="D64" s="18" t="e">
        <x:f>HYPERLINK("https://www.youtube.com/watch?v=4PvpQQzNXJc","Watch video")</x:f>
        <x:v>HYPERLINK is not implemented. linkLocation=https://www.youtube.com/watch?v=4PvpQQzNXJc, friendlyName=Watch video</x:v>
      </x:c>
      <x:c r="E64" s="18" t="e">
        <x:f>HYPERLINK("transcripts/4PvpQQzNXJc.html","Complete transcript")</x:f>
        <x:v>HYPERLINK is not implemented. linkLocation=transcripts/4PvpQQzNXJc.html, friendlyName=Complete transcript</x:v>
      </x:c>
      <x:c r="F64" s="13" t="str">
        <x:v>UNKNOWN_REQUIRES_REVIEW</x:v>
      </x:c>
      <x:c r="G64" s="17" t="str">
        <x:v>UNREVIEWED</x:v>
      </x:c>
      <x:c r="H64" s="17" t="str"/>
      <x:c r="I64" s="17" t="str"/>
      <x:c r="J64" s="17" t="str"/>
      <x:c r="K64" s="17" t="str"/>
      <x:c r="L64" s="17" t="str"/>
      <x:c r="M64" s="17" t="str">
        <x:v>PENDING WHOLE-VIDEO REVIEW</x:v>
      </x:c>
      <x:c r="N64" s="15" t="n">
        <x:v>286</x:v>
      </x:c>
      <x:c r="O64" s="15" t="n">
        <x:v>2135</x:v>
      </x:c>
      <x:c r="P64" s="15" t="n">
        <x:v>653</x:v>
      </x:c>
      <x:c r="Q64" s="13" t="str">
        <x:v>NO_LARGE_TAIL_GAP</x:v>
      </x:c>
      <x:c r="R64" s="13" t="str"/>
      <x:c r="S64" s="16" t="n">
        <x:v>0</x:v>
      </x:c>
      <x:c r="T64" s="13" t="str">
        <x:v>cbab9bf14a7d2bf309bbcc779565956384b245689bd1f8eb24ff8105a68dcfea</x:v>
      </x:c>
    </x:row>
    <x:row r="65" ht="15" hidden="0" customHeight="1">
      <x:c r="A65" s="13" t="str">
        <x:v>4Zr5J1NwnmA</x:v>
      </x:c>
      <x:c r="B65" s="13" t="str">
        <x:v>Best Stock Picks Today | CAT Caterpillar Trade 10-5-20</x:v>
      </x:c>
      <x:c r="C65" s="14" t="d">
        <x:v>2020-10-05T00:00:00.000Z</x:v>
      </x:c>
      <x:c r="D65" s="18" t="e">
        <x:f>HYPERLINK("https://www.youtube.com/watch?v=4Zr5J1NwnmA","Watch video")</x:f>
        <x:v>HYPERLINK is not implemented. linkLocation=https://www.youtube.com/watch?v=4Zr5J1NwnmA, friendlyName=Watch video</x:v>
      </x:c>
      <x:c r="E65" s="18" t="e">
        <x:f>HYPERLINK("transcripts/4Zr5J1NwnmA.html","Complete transcript")</x:f>
        <x:v>HYPERLINK is not implemented. linkLocation=transcripts/4Zr5J1NwnmA.html, friendlyName=Complete transcript</x:v>
      </x:c>
      <x:c r="F65" s="13" t="str">
        <x:v>PETE_EXPLICIT</x:v>
      </x:c>
      <x:c r="G65" s="17" t="str">
        <x:v>UNREVIEWED</x:v>
      </x:c>
      <x:c r="H65" s="17" t="str"/>
      <x:c r="I65" s="17" t="str"/>
      <x:c r="J65" s="17" t="str"/>
      <x:c r="K65" s="17" t="str"/>
      <x:c r="L65" s="17" t="str"/>
      <x:c r="M65" s="17" t="str">
        <x:v>PENDING WHOLE-VIDEO REVIEW</x:v>
      </x:c>
      <x:c r="N65" s="15" t="n">
        <x:v>370</x:v>
      </x:c>
      <x:c r="O65" s="15" t="n">
        <x:v>2331</x:v>
      </x:c>
      <x:c r="P65" s="15" t="n">
        <x:v>645</x:v>
      </x:c>
      <x:c r="Q65" s="13" t="str">
        <x:v>NO_LARGE_TAIL_GAP</x:v>
      </x:c>
      <x:c r="R65" s="13" t="str"/>
      <x:c r="S65" s="16" t="n">
        <x:v>0</x:v>
      </x:c>
      <x:c r="T65" s="13" t="str">
        <x:v>cfb5266283a88f632ec6db5cb690675b8a23a16125139679315a05efe594ef11</x:v>
      </x:c>
    </x:row>
    <x:row r="66" ht="15" hidden="0" customHeight="1">
      <x:c r="A66" s="13" t="str">
        <x:v>4Zz-N_n4JoY</x:v>
      </x:c>
      <x:c r="B66" s="13" t="str">
        <x:v>Options Trading Insights | Multiple Timeframes are a Must!</x:v>
      </x:c>
      <x:c r="C66" s="14" t="d">
        <x:v>2024-07-09T00:00:00.000Z</x:v>
      </x:c>
      <x:c r="D66" s="18" t="e">
        <x:f>HYPERLINK("https://www.youtube.com/watch?v=4Zz-N_n4JoY","Watch video")</x:f>
        <x:v>HYPERLINK is not implemented. linkLocation=https://www.youtube.com/watch?v=4Zz-N_n4JoY, friendlyName=Watch video</x:v>
      </x:c>
      <x:c r="E66" s="18" t="e">
        <x:f>HYPERLINK("transcripts/4Zz-N_n4JoY.html","Complete transcript")</x:f>
        <x:v>HYPERLINK is not implemented. linkLocation=transcripts/4Zz-N_n4JoY.html, friendlyName=Complete transcript</x:v>
      </x:c>
      <x:c r="F66" s="13" t="str">
        <x:v>UNKNOWN_REQUIRES_REVIEW</x:v>
      </x:c>
      <x:c r="G66" s="17" t="str">
        <x:v>UNREVIEWED</x:v>
      </x:c>
      <x:c r="H66" s="17" t="str"/>
      <x:c r="I66" s="17" t="str"/>
      <x:c r="J66" s="17" t="str"/>
      <x:c r="K66" s="17" t="str"/>
      <x:c r="L66" s="17" t="str"/>
      <x:c r="M66" s="17" t="str">
        <x:v>PENDING WHOLE-VIDEO REVIEW</x:v>
      </x:c>
      <x:c r="N66" s="15" t="n">
        <x:v>216</x:v>
      </x:c>
      <x:c r="O66" s="15" t="n">
        <x:v>1609</x:v>
      </x:c>
      <x:c r="P66" s="15" t="n">
        <x:v>527</x:v>
      </x:c>
      <x:c r="Q66" s="13" t="str">
        <x:v>NO_LARGE_TAIL_GAP</x:v>
      </x:c>
      <x:c r="R66" s="13" t="str"/>
      <x:c r="S66" s="16" t="n">
        <x:v>0</x:v>
      </x:c>
      <x:c r="T66" s="13" t="str">
        <x:v>7ed4a8e7b1b52000ad922294a5d913819c9003f435235b4cc653ccff8b943069</x:v>
      </x:c>
    </x:row>
    <x:row r="67" ht="15" hidden="0" customHeight="1">
      <x:c r="A67" s="13" t="str">
        <x:v>4ik993T5Wks</x:v>
      </x:c>
      <x:c r="B67" s="13" t="str">
        <x:v>Overcoming Trading Adversity: Top Mentor Tips 2024</x:v>
      </x:c>
      <x:c r="C67" s="14" t="d">
        <x:v>2024-08-12T00:00:00.000Z</x:v>
      </x:c>
      <x:c r="D67" s="18" t="e">
        <x:f>HYPERLINK("https://www.youtube.com/watch?v=4ik993T5Wks","Watch video")</x:f>
        <x:v>HYPERLINK is not implemented. linkLocation=https://www.youtube.com/watch?v=4ik993T5Wks, friendlyName=Watch video</x:v>
      </x:c>
      <x:c r="E67" s="18" t="e">
        <x:f>HYPERLINK("transcripts/4ik993T5Wks.html","Complete transcript")</x:f>
        <x:v>HYPERLINK is not implemented. linkLocation=transcripts/4ik993T5Wks.html, friendlyName=Complete transcript</x:v>
      </x:c>
      <x:c r="F67" s="13" t="str">
        <x:v>UNKNOWN_REQUIRES_REVIEW</x:v>
      </x:c>
      <x:c r="G67" s="17" t="str">
        <x:v>UNREVIEWED</x:v>
      </x:c>
      <x:c r="H67" s="17" t="str"/>
      <x:c r="I67" s="17" t="str"/>
      <x:c r="J67" s="17" t="str"/>
      <x:c r="K67" s="17" t="str"/>
      <x:c r="L67" s="17" t="str"/>
      <x:c r="M67" s="17" t="str">
        <x:v>PENDING WHOLE-VIDEO REVIEW</x:v>
      </x:c>
      <x:c r="N67" s="15" t="n">
        <x:v>1633</x:v>
      </x:c>
      <x:c r="O67" s="15" t="n">
        <x:v>11914</x:v>
      </x:c>
      <x:c r="P67" s="15" t="n">
        <x:v>3909</x:v>
      </x:c>
      <x:c r="Q67" s="13" t="str">
        <x:v>NO_LARGE_TAIL_GAP</x:v>
      </x:c>
      <x:c r="R67" s="13" t="str"/>
      <x:c r="S67" s="16" t="n">
        <x:v>0</x:v>
      </x:c>
      <x:c r="T67" s="13" t="str">
        <x:v>3965d55d1a00e2cc0416028a04d5f6cb9d14f3ad91c4944b86260855038ad24e</x:v>
      </x:c>
    </x:row>
    <x:row r="68" ht="15" hidden="0" customHeight="1">
      <x:c r="A68" s="13" t="str">
        <x:v>4qY1dzYaeaM</x:v>
      </x:c>
      <x:c r="B68" s="13" t="str">
        <x:v>How to Read Stock Market Price Action | Stocks for Breakfast</x:v>
      </x:c>
      <x:c r="C68" s="14" t="d">
        <x:v>2020-08-17T00:00:00.000Z</x:v>
      </x:c>
      <x:c r="D68" s="18" t="e">
        <x:f>HYPERLINK("https://www.youtube.com/watch?v=4qY1dzYaeaM","Watch video")</x:f>
        <x:v>HYPERLINK is not implemented. linkLocation=https://www.youtube.com/watch?v=4qY1dzYaeaM, friendlyName=Watch video</x:v>
      </x:c>
      <x:c r="E68" s="18" t="e">
        <x:f>HYPERLINK("transcripts/4qY1dzYaeaM.html","Complete transcript")</x:f>
        <x:v>HYPERLINK is not implemented. linkLocation=transcripts/4qY1dzYaeaM.html, friendlyName=Complete transcript</x:v>
      </x:c>
      <x:c r="F68" s="13" t="str">
        <x:v>PETE_EXPLICIT</x:v>
      </x:c>
      <x:c r="G68" s="17" t="str">
        <x:v>UNREVIEWED</x:v>
      </x:c>
      <x:c r="H68" s="17" t="str"/>
      <x:c r="I68" s="17" t="str"/>
      <x:c r="J68" s="17" t="str"/>
      <x:c r="K68" s="17" t="str"/>
      <x:c r="L68" s="17" t="str"/>
      <x:c r="M68" s="17" t="str">
        <x:v>PENDING WHOLE-VIDEO REVIEW</x:v>
      </x:c>
      <x:c r="N68" s="15" t="n">
        <x:v>576</x:v>
      </x:c>
      <x:c r="O68" s="15" t="n">
        <x:v>3579</x:v>
      </x:c>
      <x:c r="P68" s="15" t="n">
        <x:v>1021</x:v>
      </x:c>
      <x:c r="Q68" s="13" t="str">
        <x:v>NO_LARGE_TAIL_GAP</x:v>
      </x:c>
      <x:c r="R68" s="13" t="str"/>
      <x:c r="S68" s="16" t="n">
        <x:v>0</x:v>
      </x:c>
      <x:c r="T68" s="13" t="str">
        <x:v>951436430b238daf7d50ab56050a931dd2a4c7f86989d08ffc0b95fbd8746abb</x:v>
      </x:c>
    </x:row>
    <x:row r="69" ht="15" hidden="0" customHeight="1">
      <x:c r="A69" s="13" t="str">
        <x:v>4tJq-NsA4ks</x:v>
      </x:c>
      <x:c r="B69" s="13" t="str">
        <x:v>Follow the Smart Money: The Power of Order Flow Analysis</x:v>
      </x:c>
      <x:c r="C69" s="14" t="d">
        <x:v>2022-03-07T00:00:00.000Z</x:v>
      </x:c>
      <x:c r="D69" s="18" t="e">
        <x:f>HYPERLINK("https://www.youtube.com/watch?v=4tJq-NsA4ks","Watch video")</x:f>
        <x:v>HYPERLINK is not implemented. linkLocation=https://www.youtube.com/watch?v=4tJq-NsA4ks, friendlyName=Watch video</x:v>
      </x:c>
      <x:c r="E69" s="18" t="e">
        <x:f>HYPERLINK("transcripts/4tJq-NsA4ks.html","Complete transcript")</x:f>
        <x:v>HYPERLINK is not implemented. linkLocation=transcripts/4tJq-NsA4ks.html, friendlyName=Complete transcript</x:v>
      </x:c>
      <x:c r="F69" s="13" t="str">
        <x:v>PETE_EXPLICIT</x:v>
      </x:c>
      <x:c r="G69" s="17" t="str">
        <x:v>UNREVIEWED</x:v>
      </x:c>
      <x:c r="H69" s="17" t="str"/>
      <x:c r="I69" s="17" t="str"/>
      <x:c r="J69" s="17" t="str"/>
      <x:c r="K69" s="17" t="str"/>
      <x:c r="L69" s="17" t="str"/>
      <x:c r="M69" s="17" t="str">
        <x:v>PENDING WHOLE-VIDEO REVIEW</x:v>
      </x:c>
      <x:c r="N69" s="15" t="n">
        <x:v>507</x:v>
      </x:c>
      <x:c r="O69" s="15" t="n">
        <x:v>3323</x:v>
      </x:c>
      <x:c r="P69" s="15" t="n">
        <x:v>1069</x:v>
      </x:c>
      <x:c r="Q69" s="13" t="str">
        <x:v>NO_LARGE_TAIL_GAP</x:v>
      </x:c>
      <x:c r="R69" s="13" t="str"/>
      <x:c r="S69" s="16" t="n">
        <x:v>0</x:v>
      </x:c>
      <x:c r="T69" s="13" t="str">
        <x:v>547d4ae12ac0bc00915c3241a7b6178d3fbcef7c50bdb21d8a6b94e2a9a2e010</x:v>
      </x:c>
    </x:row>
    <x:row r="70" ht="15" hidden="0" customHeight="1">
      <x:c r="A70" s="13" t="str">
        <x:v>4uwXKo2eypo</x:v>
      </x:c>
      <x:c r="B70" s="13" t="str">
        <x:v>PLUG Stock 7-2-20 | Best Stock Picks Today</x:v>
      </x:c>
      <x:c r="C70" s="14" t="d">
        <x:v>2020-07-02T00:00:00.000Z</x:v>
      </x:c>
      <x:c r="D70" s="18" t="e">
        <x:f>HYPERLINK("https://www.youtube.com/watch?v=4uwXKo2eypo","Watch video")</x:f>
        <x:v>HYPERLINK is not implemented. linkLocation=https://www.youtube.com/watch?v=4uwXKo2eypo, friendlyName=Watch video</x:v>
      </x:c>
      <x:c r="E70" s="18" t="e">
        <x:f>HYPERLINK("transcripts/4uwXKo2eypo.html","Complete transcript")</x:f>
        <x:v>HYPERLINK is not implemented. linkLocation=transcripts/4uwXKo2eypo.html, friendlyName=Complete transcript</x:v>
      </x:c>
      <x:c r="F70" s="13" t="str">
        <x:v>UNKNOWN_REQUIRES_REVIEW</x:v>
      </x:c>
      <x:c r="G70" s="17" t="str">
        <x:v>UNREVIEWED</x:v>
      </x:c>
      <x:c r="H70" s="17" t="str"/>
      <x:c r="I70" s="17" t="str"/>
      <x:c r="J70" s="17" t="str"/>
      <x:c r="K70" s="17" t="str"/>
      <x:c r="L70" s="17" t="str"/>
      <x:c r="M70" s="17" t="str">
        <x:v>PENDING WHOLE-VIDEO REVIEW</x:v>
      </x:c>
      <x:c r="N70" s="15" t="n">
        <x:v>343</x:v>
      </x:c>
      <x:c r="O70" s="15" t="n">
        <x:v>2115</x:v>
      </x:c>
      <x:c r="P70" s="15" t="n">
        <x:v>619</x:v>
      </x:c>
      <x:c r="Q70" s="13" t="str">
        <x:v>NO_LARGE_TAIL_GAP</x:v>
      </x:c>
      <x:c r="R70" s="13" t="str"/>
      <x:c r="S70" s="16" t="n">
        <x:v>0</x:v>
      </x:c>
      <x:c r="T70" s="13" t="str">
        <x:v>9872e763b708ee4612452181ee7dcae3c6f54b8d3e34892fae44d5164944ec4b</x:v>
      </x:c>
    </x:row>
    <x:row r="71" ht="15" hidden="0" customHeight="1">
      <x:c r="A71" s="13" t="str">
        <x:v>54_q1t3Ub6A</x:v>
      </x:c>
      <x:c r="B71" s="13" t="str">
        <x:v>The Ultimate Trading Scan for Spotting Smart Money Moves</x:v>
      </x:c>
      <x:c r="C71" s="14" t="d">
        <x:v>2020-09-21T00:00:00.000Z</x:v>
      </x:c>
      <x:c r="D71" s="18" t="e">
        <x:f>HYPERLINK("https://www.youtube.com/watch?v=54_q1t3Ub6A","Watch video")</x:f>
        <x:v>HYPERLINK is not implemented. linkLocation=https://www.youtube.com/watch?v=54_q1t3Ub6A, friendlyName=Watch video</x:v>
      </x:c>
      <x:c r="E71" s="18" t="e">
        <x:f>HYPERLINK("transcripts/54_q1t3Ub6A.html","Complete transcript")</x:f>
        <x:v>HYPERLINK is not implemented. linkLocation=transcripts/54_q1t3Ub6A.html, friendlyName=Complete transcript</x:v>
      </x:c>
      <x:c r="F71" s="13" t="str">
        <x:v>PETE_EXPLICIT</x:v>
      </x:c>
      <x:c r="G71" s="17" t="str">
        <x:v>UNREVIEWED</x:v>
      </x:c>
      <x:c r="H71" s="17" t="str"/>
      <x:c r="I71" s="17" t="str"/>
      <x:c r="J71" s="17" t="str"/>
      <x:c r="K71" s="17" t="str"/>
      <x:c r="L71" s="17" t="str"/>
      <x:c r="M71" s="17" t="str">
        <x:v>PENDING WHOLE-VIDEO REVIEW</x:v>
      </x:c>
      <x:c r="N71" s="15" t="n">
        <x:v>479</x:v>
      </x:c>
      <x:c r="O71" s="15" t="n">
        <x:v>2946</x:v>
      </x:c>
      <x:c r="P71" s="15" t="n">
        <x:v>864</x:v>
      </x:c>
      <x:c r="Q71" s="13" t="str">
        <x:v>NO_LARGE_TAIL_GAP</x:v>
      </x:c>
      <x:c r="R71" s="13" t="str"/>
      <x:c r="S71" s="16" t="n">
        <x:v>0</x:v>
      </x:c>
      <x:c r="T71" s="13" t="str">
        <x:v>334a91fc5d4320d81f1218d9c58cf47aa2caa82a96169b7b1e807290e58b9949</x:v>
      </x:c>
    </x:row>
    <x:row r="72" ht="15" hidden="0" customHeight="1">
      <x:c r="A72" s="13" t="str">
        <x:v>5Fr-SOxIJNM</x:v>
      </x:c>
      <x:c r="B72" s="13" t="str">
        <x:v>CVNA Stock | Best Stock Picks Today 8-17-20</x:v>
      </x:c>
      <x:c r="C72" s="14" t="d">
        <x:v>2020-08-17T00:00:00.000Z</x:v>
      </x:c>
      <x:c r="D72" s="18" t="e">
        <x:f>HYPERLINK("https://www.youtube.com/watch?v=5Fr-SOxIJNM","Watch video")</x:f>
        <x:v>HYPERLINK is not implemented. linkLocation=https://www.youtube.com/watch?v=5Fr-SOxIJNM, friendlyName=Watch video</x:v>
      </x:c>
      <x:c r="E72" s="18" t="e">
        <x:f>HYPERLINK("transcripts/5Fr-SOxIJNM.html","Complete transcript")</x:f>
        <x:v>HYPERLINK is not implemented. linkLocation=transcripts/5Fr-SOxIJNM.html, friendlyName=Complete transcript</x:v>
      </x:c>
      <x:c r="F72" s="13" t="str">
        <x:v>PETE_EXPLICIT</x:v>
      </x:c>
      <x:c r="G72" s="17" t="str">
        <x:v>UNREVIEWED</x:v>
      </x:c>
      <x:c r="H72" s="17" t="str"/>
      <x:c r="I72" s="17" t="str"/>
      <x:c r="J72" s="17" t="str"/>
      <x:c r="K72" s="17" t="str"/>
      <x:c r="L72" s="17" t="str"/>
      <x:c r="M72" s="17" t="str">
        <x:v>PENDING WHOLE-VIDEO REVIEW</x:v>
      </x:c>
      <x:c r="N72" s="15" t="n">
        <x:v>410</x:v>
      </x:c>
      <x:c r="O72" s="15" t="n">
        <x:v>2661</x:v>
      </x:c>
      <x:c r="P72" s="15" t="n">
        <x:v>715</x:v>
      </x:c>
      <x:c r="Q72" s="13" t="str">
        <x:v>NO_LARGE_TAIL_GAP</x:v>
      </x:c>
      <x:c r="R72" s="13" t="str"/>
      <x:c r="S72" s="16" t="n">
        <x:v>0</x:v>
      </x:c>
      <x:c r="T72" s="13" t="str">
        <x:v>0c0674983ffc8c5251c6a78e570bc0e4c89fde27c583cc493146fb2562e984a9</x:v>
      </x:c>
    </x:row>
    <x:row r="73" ht="15" hidden="0" customHeight="1">
      <x:c r="A73" s="13" t="str">
        <x:v>5GoRRR43ofs</x:v>
      </x:c>
      <x:c r="B73" s="13" t="str">
        <x:v>How To Manage Swing Trades &amp; Get Consistent</x:v>
      </x:c>
      <x:c r="C73" s="14" t="d">
        <x:v>2026-03-09T00:00:00.000Z</x:v>
      </x:c>
      <x:c r="D73" s="18" t="e">
        <x:f>HYPERLINK("https://www.youtube.com/watch?v=5GoRRR43ofs","Watch video")</x:f>
        <x:v>HYPERLINK is not implemented. linkLocation=https://www.youtube.com/watch?v=5GoRRR43ofs, friendlyName=Watch video</x:v>
      </x:c>
      <x:c r="E73" s="18" t="e">
        <x:f>HYPERLINK("transcripts/5GoRRR43ofs.html","Complete transcript")</x:f>
        <x:v>HYPERLINK is not implemented. linkLocation=transcripts/5GoRRR43ofs.html, friendlyName=Complete transcript</x:v>
      </x:c>
      <x:c r="F73" s="13" t="str">
        <x:v>UNKNOWN_REQUIRES_REVIEW</x:v>
      </x:c>
      <x:c r="G73" s="17" t="str">
        <x:v>UNREVIEWED</x:v>
      </x:c>
      <x:c r="H73" s="17" t="str"/>
      <x:c r="I73" s="17" t="str"/>
      <x:c r="J73" s="17" t="str"/>
      <x:c r="K73" s="17" t="str"/>
      <x:c r="L73" s="17" t="str"/>
      <x:c r="M73" s="17" t="str">
        <x:v>PENDING WHOLE-VIDEO REVIEW</x:v>
      </x:c>
      <x:c r="N73" s="15" t="n">
        <x:v>667</x:v>
      </x:c>
      <x:c r="O73" s="15" t="n">
        <x:v>4564</x:v>
      </x:c>
      <x:c r="P73" s="15" t="n">
        <x:v>1288</x:v>
      </x:c>
      <x:c r="Q73" s="13" t="str">
        <x:v>NO_LARGE_TAIL_GAP</x:v>
      </x:c>
      <x:c r="R73" s="13" t="str"/>
      <x:c r="S73" s="16" t="n">
        <x:v>0</x:v>
      </x:c>
      <x:c r="T73" s="13" t="str">
        <x:v>eea6414e29cf702718acad42ef03144748a44ecb77c696ad23df9515367bc69a</x:v>
      </x:c>
    </x:row>
    <x:row r="74" ht="15" hidden="0" customHeight="1">
      <x:c r="A74" s="13" t="str">
        <x:v>5_9XMBTcOPc</x:v>
      </x:c>
      <x:c r="B74" s="13" t="str">
        <x:v>WMT Stock AMZN 7 8 20 Best Stock Picks Today</x:v>
      </x:c>
      <x:c r="C74" s="14" t="d">
        <x:v>2020-07-08T00:00:00.000Z</x:v>
      </x:c>
      <x:c r="D74" s="18" t="e">
        <x:f>HYPERLINK("https://www.youtube.com/watch?v=5_9XMBTcOPc","Watch video")</x:f>
        <x:v>HYPERLINK is not implemented. linkLocation=https://www.youtube.com/watch?v=5_9XMBTcOPc, friendlyName=Watch video</x:v>
      </x:c>
      <x:c r="E74" s="18" t="e">
        <x:f>HYPERLINK("transcripts/5_9XMBTcOPc.html","Complete transcript")</x:f>
        <x:v>HYPERLINK is not implemented. linkLocation=transcripts/5_9XMBTcOPc.html, friendlyName=Complete transcript</x:v>
      </x:c>
      <x:c r="F74" s="13" t="str">
        <x:v>UNKNOWN_REQUIRES_REVIEW</x:v>
      </x:c>
      <x:c r="G74" s="17" t="str">
        <x:v>UNREVIEWED</x:v>
      </x:c>
      <x:c r="H74" s="17" t="str"/>
      <x:c r="I74" s="17" t="str"/>
      <x:c r="J74" s="17" t="str"/>
      <x:c r="K74" s="17" t="str"/>
      <x:c r="L74" s="17" t="str"/>
      <x:c r="M74" s="17" t="str">
        <x:v>PENDING WHOLE-VIDEO REVIEW</x:v>
      </x:c>
      <x:c r="N74" s="15" t="n">
        <x:v>363</x:v>
      </x:c>
      <x:c r="O74" s="15" t="n">
        <x:v>2688</x:v>
      </x:c>
      <x:c r="P74" s="15" t="n">
        <x:v>756</x:v>
      </x:c>
      <x:c r="Q74" s="13" t="str">
        <x:v>NO_LARGE_TAIL_GAP</x:v>
      </x:c>
      <x:c r="R74" s="13" t="str"/>
      <x:c r="S74" s="16" t="n">
        <x:v>0</x:v>
      </x:c>
      <x:c r="T74" s="13" t="str">
        <x:v>7a02d04a0b2198409ee5cd82990792e18f2587c10b3de56454c1e6aca84876a3</x:v>
      </x:c>
    </x:row>
    <x:row r="75" ht="15" hidden="0" customHeight="1">
      <x:c r="A75" s="13" t="str">
        <x:v>5ezb92g2Nmc</x:v>
      </x:c>
      <x:c r="B75" s="13" t="str">
        <x:v>Stock Trading Game Plan 2021</x:v>
      </x:c>
      <x:c r="C75" s="14" t="d">
        <x:v>2021-03-21T00:00:00.000Z</x:v>
      </x:c>
      <x:c r="D75" s="18" t="e">
        <x:f>HYPERLINK("https://www.youtube.com/watch?v=5ezb92g2Nmc","Watch video")</x:f>
        <x:v>HYPERLINK is not implemented. linkLocation=https://www.youtube.com/watch?v=5ezb92g2Nmc, friendlyName=Watch video</x:v>
      </x:c>
      <x:c r="E75" s="18" t="e">
        <x:f>HYPERLINK("transcripts/5ezb92g2Nmc.html","Complete transcript")</x:f>
        <x:v>HYPERLINK is not implemented. linkLocation=transcripts/5ezb92g2Nmc.html, friendlyName=Complete transcript</x:v>
      </x:c>
      <x:c r="F75" s="13" t="str">
        <x:v>UNKNOWN_REQUIRES_REVIEW</x:v>
      </x:c>
      <x:c r="G75" s="17" t="str">
        <x:v>UNREVIEWED</x:v>
      </x:c>
      <x:c r="H75" s="17" t="str"/>
      <x:c r="I75" s="17" t="str"/>
      <x:c r="J75" s="17" t="str"/>
      <x:c r="K75" s="17" t="str"/>
      <x:c r="L75" s="17" t="str"/>
      <x:c r="M75" s="17" t="str">
        <x:v>PENDING WHOLE-VIDEO REVIEW</x:v>
      </x:c>
      <x:c r="N75" s="15" t="n">
        <x:v>436</x:v>
      </x:c>
      <x:c r="O75" s="15" t="n">
        <x:v>2688</x:v>
      </x:c>
      <x:c r="P75" s="15" t="n">
        <x:v>826</x:v>
      </x:c>
      <x:c r="Q75" s="13" t="str">
        <x:v>NO_LARGE_TAIL_GAP</x:v>
      </x:c>
      <x:c r="R75" s="13" t="str"/>
      <x:c r="S75" s="16" t="n">
        <x:v>0</x:v>
      </x:c>
      <x:c r="T75" s="13" t="str">
        <x:v>18059cddf94064588b64dc198008aa7ff2a4b6ca21584169770b596c0fb07287</x:v>
      </x:c>
    </x:row>
    <x:row r="76" ht="15" hidden="0" customHeight="1">
      <x:c r="A76" s="13" t="str">
        <x:v>5kMAorY7Yms</x:v>
      </x:c>
      <x:c r="B76" s="13" t="str">
        <x:v>Using Options To Trade Bearish Stocks</x:v>
      </x:c>
      <x:c r="C76" s="14" t="d">
        <x:v>2024-07-09T00:00:00.000Z</x:v>
      </x:c>
      <x:c r="D76" s="18" t="e">
        <x:f>HYPERLINK("https://www.youtube.com/watch?v=5kMAorY7Yms","Watch video")</x:f>
        <x:v>HYPERLINK is not implemented. linkLocation=https://www.youtube.com/watch?v=5kMAorY7Yms, friendlyName=Watch video</x:v>
      </x:c>
      <x:c r="E76" s="18" t="e">
        <x:f>HYPERLINK("transcripts/5kMAorY7Yms.html","Complete transcript")</x:f>
        <x:v>HYPERLINK is not implemented. linkLocation=transcripts/5kMAorY7Yms.html, friendlyName=Complete transcript</x:v>
      </x:c>
      <x:c r="F76" s="13" t="str">
        <x:v>NON_PETE_EXPLICIT_JOHN</x:v>
      </x:c>
      <x:c r="G76" s="17" t="str">
        <x:v>UNREVIEWED</x:v>
      </x:c>
      <x:c r="H76" s="17" t="str"/>
      <x:c r="I76" s="17" t="str"/>
      <x:c r="J76" s="17" t="str"/>
      <x:c r="K76" s="17" t="str"/>
      <x:c r="L76" s="17" t="str"/>
      <x:c r="M76" s="17" t="str">
        <x:v>PENDING WHOLE-VIDEO REVIEW</x:v>
      </x:c>
      <x:c r="N76" s="15" t="n">
        <x:v>232</x:v>
      </x:c>
      <x:c r="O76" s="15" t="n">
        <x:v>1769</x:v>
      </x:c>
      <x:c r="P76" s="15" t="n">
        <x:v>527</x:v>
      </x:c>
      <x:c r="Q76" s="13" t="str">
        <x:v>NO_LARGE_TAIL_GAP</x:v>
      </x:c>
      <x:c r="R76" s="13" t="str"/>
      <x:c r="S76" s="16" t="n">
        <x:v>0</x:v>
      </x:c>
      <x:c r="T76" s="13" t="str">
        <x:v>f5b72895b9461acd912e37e37ca8348ec5a7187956f64fd3d6032c9d3da0b5d9</x:v>
      </x:c>
    </x:row>
    <x:row r="77" ht="15" hidden="0" customHeight="1">
      <x:c r="A77" s="13" t="str">
        <x:v>5oBxkTep0hc</x:v>
      </x:c>
      <x:c r="B77" s="13" t="str">
        <x:v>Stock Trading Education that Instantly Makes You Profitable</x:v>
      </x:c>
      <x:c r="C77" s="14" t="d">
        <x:v>2016-01-16T00:00:00.000Z</x:v>
      </x:c>
      <x:c r="D77" s="18" t="e">
        <x:f>HYPERLINK("https://www.youtube.com/watch?v=5oBxkTep0hc","Watch video")</x:f>
        <x:v>HYPERLINK is not implemented. linkLocation=https://www.youtube.com/watch?v=5oBxkTep0hc, friendlyName=Watch video</x:v>
      </x:c>
      <x:c r="E77" s="18" t="e">
        <x:f>HYPERLINK("transcripts/5oBxkTep0hc.html","Complete transcript")</x:f>
        <x:v>HYPERLINK is not implemented. linkLocation=transcripts/5oBxkTep0hc.html, friendlyName=Complete transcript</x:v>
      </x:c>
      <x:c r="F77" s="13" t="str">
        <x:v>UNKNOWN_REQUIRES_REVIEW</x:v>
      </x:c>
      <x:c r="G77" s="17" t="str">
        <x:v>UNREVIEWED</x:v>
      </x:c>
      <x:c r="H77" s="17" t="str"/>
      <x:c r="I77" s="17" t="str"/>
      <x:c r="J77" s="17" t="str"/>
      <x:c r="K77" s="17" t="str"/>
      <x:c r="L77" s="17" t="str"/>
      <x:c r="M77" s="17" t="str">
        <x:v>PENDING WHOLE-VIDEO REVIEW</x:v>
      </x:c>
      <x:c r="N77" s="15" t="n">
        <x:v>580</x:v>
      </x:c>
      <x:c r="O77" s="15" t="n">
        <x:v>4307</x:v>
      </x:c>
      <x:c r="P77" s="15" t="n">
        <x:v>1205</x:v>
      </x:c>
      <x:c r="Q77" s="13" t="str">
        <x:v>NO_LARGE_TAIL_GAP</x:v>
      </x:c>
      <x:c r="R77" s="13" t="str"/>
      <x:c r="S77" s="16" t="n">
        <x:v>0</x:v>
      </x:c>
      <x:c r="T77" s="13" t="str">
        <x:v>37b85100733d4fb6763ab3992c3702c7838ba3b1511f672abace5377d0763544</x:v>
      </x:c>
    </x:row>
    <x:row r="78" ht="15" hidden="0" customHeight="1">
      <x:c r="A78" s="13" t="str">
        <x:v>5rPjcloOLCI</x:v>
      </x:c>
      <x:c r="B78" s="13" t="str">
        <x:v>Day Trading the Open | 4 17 15</x:v>
      </x:c>
      <x:c r="C78" s="14" t="d">
        <x:v>2015-04-17T00:00:00.000Z</x:v>
      </x:c>
      <x:c r="D78" s="18" t="e">
        <x:f>HYPERLINK("https://www.youtube.com/watch?v=5rPjcloOLCI","Watch video")</x:f>
        <x:v>HYPERLINK is not implemented. linkLocation=https://www.youtube.com/watch?v=5rPjcloOLCI, friendlyName=Watch video</x:v>
      </x:c>
      <x:c r="E78" s="18" t="e">
        <x:f>HYPERLINK("transcripts/5rPjcloOLCI.html","Complete transcript")</x:f>
        <x:v>HYPERLINK is not implemented. linkLocation=transcripts/5rPjcloOLCI.html, friendlyName=Complete transcript</x:v>
      </x:c>
      <x:c r="F78" s="13" t="str">
        <x:v>UNKNOWN_REQUIRES_REVIEW</x:v>
      </x:c>
      <x:c r="G78" s="17" t="str">
        <x:v>UNREVIEWED</x:v>
      </x:c>
      <x:c r="H78" s="17" t="str"/>
      <x:c r="I78" s="17" t="str"/>
      <x:c r="J78" s="17" t="str"/>
      <x:c r="K78" s="17" t="str"/>
      <x:c r="L78" s="17" t="str"/>
      <x:c r="M78" s="17" t="str">
        <x:v>PENDING WHOLE-VIDEO REVIEW</x:v>
      </x:c>
      <x:c r="N78" s="15" t="n">
        <x:v>338</x:v>
      </x:c>
      <x:c r="O78" s="15" t="n">
        <x:v>2500</x:v>
      </x:c>
      <x:c r="P78" s="15" t="n">
        <x:v>729</x:v>
      </x:c>
      <x:c r="Q78" s="13" t="str">
        <x:v>NO_LARGE_TAIL_GAP</x:v>
      </x:c>
      <x:c r="R78" s="13" t="str"/>
      <x:c r="S78" s="16" t="n">
        <x:v>0</x:v>
      </x:c>
      <x:c r="T78" s="13" t="str">
        <x:v>8b6e47fcd4fac3dee884c20718693304a89b1dc13bf50253a35715d2fd08cc7d</x:v>
      </x:c>
    </x:row>
    <x:row r="79" ht="15" hidden="0" customHeight="1">
      <x:c r="A79" s="13" t="str">
        <x:v>5sL-fhCNcMw</x:v>
      </x:c>
      <x:c r="B79" s="13" t="str">
        <x:v>Best Stock Picks Today | PTON Earnings Peloton 9-11-20</x:v>
      </x:c>
      <x:c r="C79" s="14" t="d">
        <x:v>2020-09-11T00:00:00.000Z</x:v>
      </x:c>
      <x:c r="D79" s="18" t="e">
        <x:f>HYPERLINK("https://www.youtube.com/watch?v=5sL-fhCNcMw","Watch video")</x:f>
        <x:v>HYPERLINK is not implemented. linkLocation=https://www.youtube.com/watch?v=5sL-fhCNcMw, friendlyName=Watch video</x:v>
      </x:c>
      <x:c r="E79" s="18" t="e">
        <x:f>HYPERLINK("transcripts/5sL-fhCNcMw.html","Complete transcript")</x:f>
        <x:v>HYPERLINK is not implemented. linkLocation=transcripts/5sL-fhCNcMw.html, friendlyName=Complete transcript</x:v>
      </x:c>
      <x:c r="F79" s="13" t="str">
        <x:v>PETE_EXPLICIT</x:v>
      </x:c>
      <x:c r="G79" s="17" t="str">
        <x:v>UNREVIEWED</x:v>
      </x:c>
      <x:c r="H79" s="17" t="str"/>
      <x:c r="I79" s="17" t="str"/>
      <x:c r="J79" s="17" t="str"/>
      <x:c r="K79" s="17" t="str"/>
      <x:c r="L79" s="17" t="str"/>
      <x:c r="M79" s="17" t="str">
        <x:v>PENDING WHOLE-VIDEO REVIEW</x:v>
      </x:c>
      <x:c r="N79" s="15" t="n">
        <x:v>392</x:v>
      </x:c>
      <x:c r="O79" s="15" t="n">
        <x:v>2433</x:v>
      </x:c>
      <x:c r="P79" s="15" t="n">
        <x:v>685</x:v>
      </x:c>
      <x:c r="Q79" s="13" t="str">
        <x:v>NO_LARGE_TAIL_GAP</x:v>
      </x:c>
      <x:c r="R79" s="13" t="str"/>
      <x:c r="S79" s="16" t="n">
        <x:v>0</x:v>
      </x:c>
      <x:c r="T79" s="13" t="str">
        <x:v>6a0a6b60ae28502750b07227f3d96e20a0de5bd69bd18fa7bd90106b29c6131a</x:v>
      </x:c>
    </x:row>
    <x:row r="80" ht="15" hidden="0" customHeight="1">
      <x:c r="A80" s="13" t="str">
        <x:v>5tT7g3t3Ay4</x:v>
      </x:c>
      <x:c r="B80" s="13" t="str">
        <x:v>Options Strategy: Covered calls without owning the stock</x:v>
      </x:c>
      <x:c r="C80" s="14" t="d">
        <x:v>2024-11-11T00:00:00.000Z</x:v>
      </x:c>
      <x:c r="D80" s="18" t="e">
        <x:f>HYPERLINK("https://www.youtube.com/watch?v=5tT7g3t3Ay4","Watch video")</x:f>
        <x:v>HYPERLINK is not implemented. linkLocation=https://www.youtube.com/watch?v=5tT7g3t3Ay4, friendlyName=Watch video</x:v>
      </x:c>
      <x:c r="E80" s="18" t="e">
        <x:f>HYPERLINK("transcripts/5tT7g3t3Ay4.html","Complete transcript")</x:f>
        <x:v>HYPERLINK is not implemented. linkLocation=transcripts/5tT7g3t3Ay4.html, friendlyName=Complete transcript</x:v>
      </x:c>
      <x:c r="F80" s="13" t="str">
        <x:v>PETE_EXPLICIT</x:v>
      </x:c>
      <x:c r="G80" s="17" t="str">
        <x:v>UNREVIEWED</x:v>
      </x:c>
      <x:c r="H80" s="17" t="str"/>
      <x:c r="I80" s="17" t="str"/>
      <x:c r="J80" s="17" t="str"/>
      <x:c r="K80" s="17" t="str"/>
      <x:c r="L80" s="17" t="str"/>
      <x:c r="M80" s="17" t="str">
        <x:v>PENDING WHOLE-VIDEO REVIEW</x:v>
      </x:c>
      <x:c r="N80" s="15" t="n">
        <x:v>875</x:v>
      </x:c>
      <x:c r="O80" s="15" t="n">
        <x:v>6557</x:v>
      </x:c>
      <x:c r="P80" s="15" t="n">
        <x:v>1844</x:v>
      </x:c>
      <x:c r="Q80" s="13" t="str">
        <x:v>NO_LARGE_TAIL_GAP</x:v>
      </x:c>
      <x:c r="R80" s="13" t="str"/>
      <x:c r="S80" s="16" t="n">
        <x:v>0</x:v>
      </x:c>
      <x:c r="T80" s="13" t="str">
        <x:v>e1bd3a3322c3bdfa918790445140fd3251e5d97b722d211f787df1ef4647cb55</x:v>
      </x:c>
    </x:row>
    <x:row r="81" ht="15" hidden="0" customHeight="1">
      <x:c r="A81" s="13" t="str">
        <x:v>5tcyplXexW4</x:v>
      </x:c>
      <x:c r="B81" s="13" t="str">
        <x:v>Best Stock Picks Today | SAVA Cassava Sciences 2 5 21</x:v>
      </x:c>
      <x:c r="C81" s="14" t="d">
        <x:v>2021-02-05T00:00:00.000Z</x:v>
      </x:c>
      <x:c r="D81" s="18" t="e">
        <x:f>HYPERLINK("https://www.youtube.com/watch?v=5tcyplXexW4","Watch video")</x:f>
        <x:v>HYPERLINK is not implemented. linkLocation=https://www.youtube.com/watch?v=5tcyplXexW4, friendlyName=Watch video</x:v>
      </x:c>
      <x:c r="E81" s="18" t="e">
        <x:f>HYPERLINK("transcripts/5tcyplXexW4.html","Complete transcript")</x:f>
        <x:v>HYPERLINK is not implemented. linkLocation=transcripts/5tcyplXexW4.html, friendlyName=Complete transcript</x:v>
      </x:c>
      <x:c r="F81" s="13" t="str">
        <x:v>PETE_EXPLICIT</x:v>
      </x:c>
      <x:c r="G81" s="17" t="str">
        <x:v>UNREVIEWED</x:v>
      </x:c>
      <x:c r="H81" s="17" t="str"/>
      <x:c r="I81" s="17" t="str"/>
      <x:c r="J81" s="17" t="str"/>
      <x:c r="K81" s="17" t="str"/>
      <x:c r="L81" s="17" t="str"/>
      <x:c r="M81" s="17" t="str">
        <x:v>PENDING WHOLE-VIDEO REVIEW</x:v>
      </x:c>
      <x:c r="N81" s="15" t="n">
        <x:v>353</x:v>
      </x:c>
      <x:c r="O81" s="15" t="n">
        <x:v>2188</x:v>
      </x:c>
      <x:c r="P81" s="15" t="n">
        <x:v>630</x:v>
      </x:c>
      <x:c r="Q81" s="13" t="str">
        <x:v>NO_LARGE_TAIL_GAP</x:v>
      </x:c>
      <x:c r="R81" s="13" t="str"/>
      <x:c r="S81" s="16" t="n">
        <x:v>0</x:v>
      </x:c>
      <x:c r="T81" s="13" t="str">
        <x:v>bfcf43233836be3bf4a2a37762170390dcacc63824bf033fc30d484fda35f912</x:v>
      </x:c>
    </x:row>
    <x:row r="82" ht="15" hidden="0" customHeight="1">
      <x:c r="A82" s="13" t="str">
        <x:v>5xSrrUe1Mvg</x:v>
      </x:c>
      <x:c r="B82" s="13" t="str">
        <x:v>Best Stock Picks Today CLSK Swing Trade Cleanspark 12-28-20</x:v>
      </x:c>
      <x:c r="C82" s="14" t="d">
        <x:v>2020-12-28T00:00:00.000Z</x:v>
      </x:c>
      <x:c r="D82" s="18" t="e">
        <x:f>HYPERLINK("https://www.youtube.com/watch?v=5xSrrUe1Mvg","Watch video")</x:f>
        <x:v>HYPERLINK is not implemented. linkLocation=https://www.youtube.com/watch?v=5xSrrUe1Mvg, friendlyName=Watch video</x:v>
      </x:c>
      <x:c r="E82" s="18" t="e">
        <x:f>HYPERLINK("transcripts/5xSrrUe1Mvg.html","Complete transcript")</x:f>
        <x:v>HYPERLINK is not implemented. linkLocation=transcripts/5xSrrUe1Mvg.html, friendlyName=Complete transcript</x:v>
      </x:c>
      <x:c r="F82" s="13" t="str">
        <x:v>PETE_EXPLICIT</x:v>
      </x:c>
      <x:c r="G82" s="17" t="str">
        <x:v>UNREVIEWED</x:v>
      </x:c>
      <x:c r="H82" s="17" t="str"/>
      <x:c r="I82" s="17" t="str"/>
      <x:c r="J82" s="17" t="str"/>
      <x:c r="K82" s="17" t="str"/>
      <x:c r="L82" s="17" t="str"/>
      <x:c r="M82" s="17" t="str">
        <x:v>PENDING WHOLE-VIDEO REVIEW</x:v>
      </x:c>
      <x:c r="N82" s="15" t="n">
        <x:v>395</x:v>
      </x:c>
      <x:c r="O82" s="15" t="n">
        <x:v>2545</x:v>
      </x:c>
      <x:c r="P82" s="15" t="n">
        <x:v>700</x:v>
      </x:c>
      <x:c r="Q82" s="13" t="str">
        <x:v>NO_LARGE_TAIL_GAP</x:v>
      </x:c>
      <x:c r="R82" s="13" t="str"/>
      <x:c r="S82" s="16" t="n">
        <x:v>0</x:v>
      </x:c>
      <x:c r="T82" s="13" t="str">
        <x:v>5fd82ab59ff122edbbbac881c5c87468d40d4706ddca08ad2c64783261e5d7ef</x:v>
      </x:c>
    </x:row>
    <x:row r="83" ht="15" hidden="0" customHeight="1">
      <x:c r="A83" s="13" t="str">
        <x:v>5xli76YYZnw</x:v>
      </x:c>
      <x:c r="B83" s="13" t="str">
        <x:v>How Stock Market Algorithms Create MASSIVE Opportunity in the Right Stocks</x:v>
      </x:c>
      <x:c r="C83" s="14" t="d">
        <x:v>2022-08-04T00:00:00.000Z</x:v>
      </x:c>
      <x:c r="D83" s="18" t="e">
        <x:f>HYPERLINK("https://www.youtube.com/watch?v=5xli76YYZnw","Watch video")</x:f>
        <x:v>HYPERLINK is not implemented. linkLocation=https://www.youtube.com/watch?v=5xli76YYZnw, friendlyName=Watch video</x:v>
      </x:c>
      <x:c r="E83" s="18" t="e">
        <x:f>HYPERLINK("transcripts/5xli76YYZnw.html","Complete transcript")</x:f>
        <x:v>HYPERLINK is not implemented. linkLocation=transcripts/5xli76YYZnw.html, friendlyName=Complete transcript</x:v>
      </x:c>
      <x:c r="F83" s="13" t="str">
        <x:v>UNKNOWN_REQUIRES_REVIEW</x:v>
      </x:c>
      <x:c r="G83" s="17" t="str">
        <x:v>UNREVIEWED</x:v>
      </x:c>
      <x:c r="H83" s="17" t="str"/>
      <x:c r="I83" s="17" t="str"/>
      <x:c r="J83" s="17" t="str"/>
      <x:c r="K83" s="17" t="str"/>
      <x:c r="L83" s="17" t="str"/>
      <x:c r="M83" s="17" t="str">
        <x:v>PENDING WHOLE-VIDEO REVIEW</x:v>
      </x:c>
      <x:c r="N83" s="15" t="n">
        <x:v>271</x:v>
      </x:c>
      <x:c r="O83" s="15" t="n">
        <x:v>1730</x:v>
      </x:c>
      <x:c r="P83" s="15" t="n">
        <x:v>588</x:v>
      </x:c>
      <x:c r="Q83" s="13" t="str">
        <x:v>NO_LARGE_TAIL_GAP</x:v>
      </x:c>
      <x:c r="R83" s="13" t="str"/>
      <x:c r="S83" s="16" t="n">
        <x:v>0</x:v>
      </x:c>
      <x:c r="T83" s="13" t="str">
        <x:v>197f4f65a1073d9bc43ba765f7aee81a9d3edd60ac8f764a796f118ba11e4fdb</x:v>
      </x:c>
    </x:row>
    <x:row r="84" ht="15" hidden="0" customHeight="1">
      <x:c r="A84" s="13" t="str">
        <x:v>5yYmRBUlg_g</x:v>
      </x:c>
      <x:c r="B84" s="13" t="str">
        <x:v>Trading Strategy | Stocks for Breakfast</x:v>
      </x:c>
      <x:c r="C84" s="14" t="d">
        <x:v>2020-11-03T00:00:00.000Z</x:v>
      </x:c>
      <x:c r="D84" s="18" t="e">
        <x:f>HYPERLINK("https://www.youtube.com/watch?v=5yYmRBUlg_g","Watch video")</x:f>
        <x:v>HYPERLINK is not implemented. linkLocation=https://www.youtube.com/watch?v=5yYmRBUlg_g, friendlyName=Watch video</x:v>
      </x:c>
      <x:c r="E84" s="18" t="e">
        <x:f>HYPERLINK("transcripts/5yYmRBUlg_g.html","Complete transcript")</x:f>
        <x:v>HYPERLINK is not implemented. linkLocation=transcripts/5yYmRBUlg_g.html, friendlyName=Complete transcript</x:v>
      </x:c>
      <x:c r="F84" s="13" t="str">
        <x:v>PETE_EXPLICIT</x:v>
      </x:c>
      <x:c r="G84" s="17" t="str">
        <x:v>UNREVIEWED</x:v>
      </x:c>
      <x:c r="H84" s="17" t="str"/>
      <x:c r="I84" s="17" t="str"/>
      <x:c r="J84" s="17" t="str"/>
      <x:c r="K84" s="17" t="str"/>
      <x:c r="L84" s="17" t="str"/>
      <x:c r="M84" s="17" t="str">
        <x:v>PENDING WHOLE-VIDEO REVIEW</x:v>
      </x:c>
      <x:c r="N84" s="15" t="n">
        <x:v>326</x:v>
      </x:c>
      <x:c r="O84" s="15" t="n">
        <x:v>1960</x:v>
      </x:c>
      <x:c r="P84" s="15" t="n">
        <x:v>587</x:v>
      </x:c>
      <x:c r="Q84" s="13" t="str">
        <x:v>NO_LARGE_TAIL_GAP</x:v>
      </x:c>
      <x:c r="R84" s="13" t="str"/>
      <x:c r="S84" s="16" t="n">
        <x:v>0</x:v>
      </x:c>
      <x:c r="T84" s="13" t="str">
        <x:v>fa5995cafe915eb77566a1db583d28c739a73cb69e62053c548b04852dae2cbe</x:v>
      </x:c>
    </x:row>
    <x:row r="85" ht="15" hidden="0" customHeight="1">
      <x:c r="A85" s="13" t="str">
        <x:v>64Xt5kv9DsM</x:v>
      </x:c>
      <x:c r="B85" s="13" t="str">
        <x:v>How to Overcome Trading Adversity | Stock Trading Insights</x:v>
      </x:c>
      <x:c r="C85" s="14" t="d">
        <x:v>2021-09-06T00:00:00.000Z</x:v>
      </x:c>
      <x:c r="D85" s="18" t="e">
        <x:f>HYPERLINK("https://www.youtube.com/watch?v=64Xt5kv9DsM","Watch video")</x:f>
        <x:v>HYPERLINK is not implemented. linkLocation=https://www.youtube.com/watch?v=64Xt5kv9DsM, friendlyName=Watch video</x:v>
      </x:c>
      <x:c r="E85" s="18" t="e">
        <x:f>HYPERLINK("transcripts/64Xt5kv9DsM.html","Complete transcript")</x:f>
        <x:v>HYPERLINK is not implemented. linkLocation=transcripts/64Xt5kv9DsM.html, friendlyName=Complete transcript</x:v>
      </x:c>
      <x:c r="F85" s="13" t="str">
        <x:v>UNKNOWN_REQUIRES_REVIEW</x:v>
      </x:c>
      <x:c r="G85" s="17" t="str">
        <x:v>UNREVIEWED</x:v>
      </x:c>
      <x:c r="H85" s="17" t="str"/>
      <x:c r="I85" s="17" t="str"/>
      <x:c r="J85" s="17" t="str"/>
      <x:c r="K85" s="17" t="str"/>
      <x:c r="L85" s="17" t="str"/>
      <x:c r="M85" s="17" t="str">
        <x:v>PENDING WHOLE-VIDEO REVIEW</x:v>
      </x:c>
      <x:c r="N85" s="15" t="n">
        <x:v>213</x:v>
      </x:c>
      <x:c r="O85" s="15" t="n">
        <x:v>1241</x:v>
      </x:c>
      <x:c r="P85" s="15" t="n">
        <x:v>428</x:v>
      </x:c>
      <x:c r="Q85" s="13" t="str">
        <x:v>NO_LARGE_TAIL_GAP</x:v>
      </x:c>
      <x:c r="R85" s="13" t="str"/>
      <x:c r="S85" s="16" t="n">
        <x:v>0</x:v>
      </x:c>
      <x:c r="T85" s="13" t="str">
        <x:v>71cc90816a63df6050e1b8416c79b9f54f327aaf6b02e92ad3389390c4fbf3ef</x:v>
      </x:c>
    </x:row>
    <x:row r="86" ht="15" hidden="0" customHeight="1">
      <x:c r="A86" s="13" t="str">
        <x:v>6HyIGH3QEok</x:v>
      </x:c>
      <x:c r="B86" s="13" t="str">
        <x:v>Best Stock Picks Today 5-12-20 | Trading Tech Stocks</x:v>
      </x:c>
      <x:c r="C86" s="14" t="d">
        <x:v>2020-05-12T00:00:00.000Z</x:v>
      </x:c>
      <x:c r="D86" s="18" t="e">
        <x:f>HYPERLINK("https://www.youtube.com/watch?v=6HyIGH3QEok","Watch video")</x:f>
        <x:v>HYPERLINK is not implemented. linkLocation=https://www.youtube.com/watch?v=6HyIGH3QEok, friendlyName=Watch video</x:v>
      </x:c>
      <x:c r="E86" s="18" t="e">
        <x:f>HYPERLINK("transcripts/6HyIGH3QEok.html","Complete transcript")</x:f>
        <x:v>HYPERLINK is not implemented. linkLocation=transcripts/6HyIGH3QEok.html, friendlyName=Complete transcript</x:v>
      </x:c>
      <x:c r="F86" s="13" t="str">
        <x:v>PETE_EXPLICIT</x:v>
      </x:c>
      <x:c r="G86" s="17" t="str">
        <x:v>UNREVIEWED</x:v>
      </x:c>
      <x:c r="H86" s="17" t="str"/>
      <x:c r="I86" s="17" t="str"/>
      <x:c r="J86" s="17" t="str"/>
      <x:c r="K86" s="17" t="str"/>
      <x:c r="L86" s="17" t="str"/>
      <x:c r="M86" s="17" t="str">
        <x:v>PENDING WHOLE-VIDEO REVIEW</x:v>
      </x:c>
      <x:c r="N86" s="15" t="n">
        <x:v>486</x:v>
      </x:c>
      <x:c r="O86" s="15" t="n">
        <x:v>3532</x:v>
      </x:c>
      <x:c r="P86" s="15" t="n">
        <x:v>1019</x:v>
      </x:c>
      <x:c r="Q86" s="13" t="str">
        <x:v>NO_LARGE_TAIL_GAP</x:v>
      </x:c>
      <x:c r="R86" s="13" t="str"/>
      <x:c r="S86" s="16" t="n">
        <x:v>0</x:v>
      </x:c>
      <x:c r="T86" s="13" t="str">
        <x:v>0c0f199ebff3ebdbc6ae78feecc96099102502553230740222f90fc3af163f00</x:v>
      </x:c>
    </x:row>
    <x:row r="87" ht="15" hidden="0" customHeight="1">
      <x:c r="A87" s="13" t="str">
        <x:v>6Ks1G-i_Lfw</x:v>
      </x:c>
      <x:c r="B87" s="13" t="str">
        <x:v>WORK (SLACK)  CRM (Salesforce) |  Best Stock Picks Today 11-30-20</x:v>
      </x:c>
      <x:c r="C87" s="14" t="d">
        <x:v>2020-11-30T00:00:00.000Z</x:v>
      </x:c>
      <x:c r="D87" s="18" t="e">
        <x:f>HYPERLINK("https://www.youtube.com/watch?v=6Ks1G-i_Lfw","Watch video")</x:f>
        <x:v>HYPERLINK is not implemented. linkLocation=https://www.youtube.com/watch?v=6Ks1G-i_Lfw, friendlyName=Watch video</x:v>
      </x:c>
      <x:c r="E87" s="18" t="e">
        <x:f>HYPERLINK("transcripts/6Ks1G-i_Lfw.html","Complete transcript")</x:f>
        <x:v>HYPERLINK is not implemented. linkLocation=transcripts/6Ks1G-i_Lfw.html, friendlyName=Complete transcript</x:v>
      </x:c>
      <x:c r="F87" s="13" t="str">
        <x:v>PETE_EXPLICIT</x:v>
      </x:c>
      <x:c r="G87" s="17" t="str">
        <x:v>UNREVIEWED</x:v>
      </x:c>
      <x:c r="H87" s="17" t="str"/>
      <x:c r="I87" s="17" t="str"/>
      <x:c r="J87" s="17" t="str"/>
      <x:c r="K87" s="17" t="str"/>
      <x:c r="L87" s="17" t="str"/>
      <x:c r="M87" s="17" t="str">
        <x:v>PENDING WHOLE-VIDEO REVIEW</x:v>
      </x:c>
      <x:c r="N87" s="15" t="n">
        <x:v>442</x:v>
      </x:c>
      <x:c r="O87" s="15" t="n">
        <x:v>2769</x:v>
      </x:c>
      <x:c r="P87" s="15" t="n">
        <x:v>752</x:v>
      </x:c>
      <x:c r="Q87" s="13" t="str">
        <x:v>NO_LARGE_TAIL_GAP</x:v>
      </x:c>
      <x:c r="R87" s="13" t="str"/>
      <x:c r="S87" s="16" t="n">
        <x:v>0</x:v>
      </x:c>
      <x:c r="T87" s="13" t="str">
        <x:v>9261d13cfaad09e3dbbb30c553e045b6328317a37f88a7c7ed742b00bbef327a</x:v>
      </x:c>
    </x:row>
    <x:row r="88" ht="15" hidden="0" customHeight="1">
      <x:c r="A88" s="13" t="str">
        <x:v>6N90pm-aPvQ</x:v>
      </x:c>
      <x:c r="B88" s="13" t="str">
        <x:v>How Successful Stock Traders Make Decisions</x:v>
      </x:c>
      <x:c r="C88" s="14" t="d">
        <x:v>2015-06-06T00:00:00.000Z</x:v>
      </x:c>
      <x:c r="D88" s="18" t="e">
        <x:f>HYPERLINK("https://www.youtube.com/watch?v=6N90pm-aPvQ","Watch video")</x:f>
        <x:v>HYPERLINK is not implemented. linkLocation=https://www.youtube.com/watch?v=6N90pm-aPvQ, friendlyName=Watch video</x:v>
      </x:c>
      <x:c r="E88" s="18" t="e">
        <x:f>HYPERLINK("transcripts/6N90pm-aPvQ.html","Complete transcript")</x:f>
        <x:v>HYPERLINK is not implemented. linkLocation=transcripts/6N90pm-aPvQ.html, friendlyName=Complete transcript</x:v>
      </x:c>
      <x:c r="F88" s="13" t="str">
        <x:v>UNKNOWN_REQUIRES_REVIEW</x:v>
      </x:c>
      <x:c r="G88" s="17" t="str">
        <x:v>UNREVIEWED</x:v>
      </x:c>
      <x:c r="H88" s="17" t="str"/>
      <x:c r="I88" s="17" t="str"/>
      <x:c r="J88" s="17" t="str"/>
      <x:c r="K88" s="17" t="str"/>
      <x:c r="L88" s="17" t="str"/>
      <x:c r="M88" s="17" t="str">
        <x:v>PENDING WHOLE-VIDEO REVIEW</x:v>
      </x:c>
      <x:c r="N88" s="15" t="n">
        <x:v>57</x:v>
      </x:c>
      <x:c r="O88" s="15" t="n">
        <x:v>418</x:v>
      </x:c>
      <x:c r="P88" s="15" t="n">
        <x:v>116</x:v>
      </x:c>
      <x:c r="Q88" s="13" t="str">
        <x:v>NO_LARGE_TAIL_GAP</x:v>
      </x:c>
      <x:c r="R88" s="13" t="str"/>
      <x:c r="S88" s="16" t="n">
        <x:v>0</x:v>
      </x:c>
      <x:c r="T88" s="13" t="str">
        <x:v>002299adf5109512287e1c0e1127883b0d802abed3d6c2b89b71124db7c25876</x:v>
      </x:c>
    </x:row>
    <x:row r="89" ht="15" hidden="0" customHeight="1">
      <x:c r="A89" s="13" t="str">
        <x:v>6QT3uWGygjM</x:v>
      </x:c>
      <x:c r="B89" s="13" t="str">
        <x:v>TSLA Earnings Report | Best Stock Picks Today 7-22-20</x:v>
      </x:c>
      <x:c r="C89" s="14" t="d">
        <x:v>2020-07-22T00:00:00.000Z</x:v>
      </x:c>
      <x:c r="D89" s="18" t="e">
        <x:f>HYPERLINK("https://www.youtube.com/watch?v=6QT3uWGygjM","Watch video")</x:f>
        <x:v>HYPERLINK is not implemented. linkLocation=https://www.youtube.com/watch?v=6QT3uWGygjM, friendlyName=Watch video</x:v>
      </x:c>
      <x:c r="E89" s="18" t="e">
        <x:f>HYPERLINK("transcripts/6QT3uWGygjM.html","Complete transcript")</x:f>
        <x:v>HYPERLINK is not implemented. linkLocation=transcripts/6QT3uWGygjM.html, friendlyName=Complete transcript</x:v>
      </x:c>
      <x:c r="F89" s="13" t="str">
        <x:v>PETE_EXPLICIT</x:v>
      </x:c>
      <x:c r="G89" s="17" t="str">
        <x:v>UNREVIEWED</x:v>
      </x:c>
      <x:c r="H89" s="17" t="str"/>
      <x:c r="I89" s="17" t="str"/>
      <x:c r="J89" s="17" t="str"/>
      <x:c r="K89" s="17" t="str"/>
      <x:c r="L89" s="17" t="str"/>
      <x:c r="M89" s="17" t="str">
        <x:v>PENDING WHOLE-VIDEO REVIEW</x:v>
      </x:c>
      <x:c r="N89" s="15" t="n">
        <x:v>425</x:v>
      </x:c>
      <x:c r="O89" s="15" t="n">
        <x:v>2640</x:v>
      </x:c>
      <x:c r="P89" s="15" t="n">
        <x:v>745</x:v>
      </x:c>
      <x:c r="Q89" s="13" t="str">
        <x:v>NO_LARGE_TAIL_GAP</x:v>
      </x:c>
      <x:c r="R89" s="13" t="str"/>
      <x:c r="S89" s="16" t="n">
        <x:v>0</x:v>
      </x:c>
      <x:c r="T89" s="13" t="str">
        <x:v>76b3ee97d5aec7f26a673182f098e40514b12ad68935031aa61620c517d023b5</x:v>
      </x:c>
    </x:row>
    <x:row r="90" ht="15" hidden="0" customHeight="1">
      <x:c r="A90" s="13" t="str">
        <x:v>6RWJRxqO5Rk</x:v>
      </x:c>
      <x:c r="B90" s="13" t="str">
        <x:v>Trading Options: Basic Strategies</x:v>
      </x:c>
      <x:c r="C90" s="14" t="d">
        <x:v>2024-07-10T00:00:00.000Z</x:v>
      </x:c>
      <x:c r="D90" s="18" t="e">
        <x:f>HYPERLINK("https://www.youtube.com/watch?v=6RWJRxqO5Rk","Watch video")</x:f>
        <x:v>HYPERLINK is not implemented. linkLocation=https://www.youtube.com/watch?v=6RWJRxqO5Rk, friendlyName=Watch video</x:v>
      </x:c>
      <x:c r="E90" s="18" t="e">
        <x:f>HYPERLINK("transcripts/6RWJRxqO5Rk.html","Complete transcript")</x:f>
        <x:v>HYPERLINK is not implemented. linkLocation=transcripts/6RWJRxqO5Rk.html, friendlyName=Complete transcript</x:v>
      </x:c>
      <x:c r="F90" s="13" t="str">
        <x:v>NON_PETE_EXPLICIT_JOHN</x:v>
      </x:c>
      <x:c r="G90" s="17" t="str">
        <x:v>UNREVIEWED</x:v>
      </x:c>
      <x:c r="H90" s="17" t="str"/>
      <x:c r="I90" s="17" t="str"/>
      <x:c r="J90" s="17" t="str"/>
      <x:c r="K90" s="17" t="str"/>
      <x:c r="L90" s="17" t="str"/>
      <x:c r="M90" s="17" t="str">
        <x:v>PENDING WHOLE-VIDEO REVIEW</x:v>
      </x:c>
      <x:c r="N90" s="15" t="n">
        <x:v>217</x:v>
      </x:c>
      <x:c r="O90" s="15" t="n">
        <x:v>1666</x:v>
      </x:c>
      <x:c r="P90" s="15" t="n">
        <x:v>482</x:v>
      </x:c>
      <x:c r="Q90" s="13" t="str">
        <x:v>NO_LARGE_TAIL_GAP</x:v>
      </x:c>
      <x:c r="R90" s="13" t="str"/>
      <x:c r="S90" s="16" t="n">
        <x:v>0</x:v>
      </x:c>
      <x:c r="T90" s="13" t="str">
        <x:v>ffe74641f23d6f6099c22868a6110067036f355f049e65d633d2294b89027103</x:v>
      </x:c>
    </x:row>
    <x:row r="91" ht="15" hidden="0" customHeight="1">
      <x:c r="A91" s="13" t="str">
        <x:v>6UNRVUfIJTE</x:v>
      </x:c>
      <x:c r="B91" s="13" t="str">
        <x:v>IWM - Russell 2000 Rockets Higher: Stocks and Options Podcast</x:v>
      </x:c>
      <x:c r="C91" s="14" t="d">
        <x:v>2024-07-12T00:00:00.000Z</x:v>
      </x:c>
      <x:c r="D91" s="18" t="e">
        <x:f>HYPERLINK("https://www.youtube.com/watch?v=6UNRVUfIJTE","Watch video")</x:f>
        <x:v>HYPERLINK is not implemented. linkLocation=https://www.youtube.com/watch?v=6UNRVUfIJTE, friendlyName=Watch video</x:v>
      </x:c>
      <x:c r="E91" s="18" t="e">
        <x:f>HYPERLINK("transcripts/6UNRVUfIJTE.html","Complete transcript")</x:f>
        <x:v>HYPERLINK is not implemented. linkLocation=transcripts/6UNRVUfIJTE.html, friendlyName=Complete transcript</x:v>
      </x:c>
      <x:c r="F91" s="13" t="str">
        <x:v>UNKNOWN_REQUIRES_REVIEW</x:v>
      </x:c>
      <x:c r="G91" s="17" t="str">
        <x:v>UNREVIEWED</x:v>
      </x:c>
      <x:c r="H91" s="17" t="str"/>
      <x:c r="I91" s="17" t="str"/>
      <x:c r="J91" s="17" t="str"/>
      <x:c r="K91" s="17" t="str"/>
      <x:c r="L91" s="17" t="str"/>
      <x:c r="M91" s="17" t="str">
        <x:v>PENDING WHOLE-VIDEO REVIEW</x:v>
      </x:c>
      <x:c r="N91" s="15" t="n">
        <x:v>879</x:v>
      </x:c>
      <x:c r="O91" s="15" t="n">
        <x:v>6501</x:v>
      </x:c>
      <x:c r="P91" s="15" t="n">
        <x:v>1859</x:v>
      </x:c>
      <x:c r="Q91" s="13" t="str">
        <x:v>NO_LARGE_TAIL_GAP</x:v>
      </x:c>
      <x:c r="R91" s="13" t="str"/>
      <x:c r="S91" s="16" t="n">
        <x:v>0</x:v>
      </x:c>
      <x:c r="T91" s="13" t="str">
        <x:v>3ea0366d1b43d940d2e249a752e6e69705920c10dbf910eb7ff7db974f4b8696</x:v>
      </x:c>
    </x:row>
    <x:row r="92" ht="15" hidden="0" customHeight="1">
      <x:c r="A92" s="13" t="str">
        <x:v>6XgZEVEVnRU</x:v>
      </x:c>
      <x:c r="B92" s="13" t="str">
        <x:v>Advanced Stock Trading Strategies | The Watch List</x:v>
      </x:c>
      <x:c r="C92" s="14" t="d">
        <x:v>2020-10-14T00:00:00.000Z</x:v>
      </x:c>
      <x:c r="D92" s="18" t="e">
        <x:f>HYPERLINK("https://www.youtube.com/watch?v=6XgZEVEVnRU","Watch video")</x:f>
        <x:v>HYPERLINK is not implemented. linkLocation=https://www.youtube.com/watch?v=6XgZEVEVnRU, friendlyName=Watch video</x:v>
      </x:c>
      <x:c r="E92" s="18" t="e">
        <x:f>HYPERLINK("transcripts/6XgZEVEVnRU.html","Complete transcript")</x:f>
        <x:v>HYPERLINK is not implemented. linkLocation=transcripts/6XgZEVEVnRU.html, friendlyName=Complete transcript</x:v>
      </x:c>
      <x:c r="F92" s="13" t="str">
        <x:v>PETE_EXPLICIT</x:v>
      </x:c>
      <x:c r="G92" s="17" t="str">
        <x:v>UNREVIEWED</x:v>
      </x:c>
      <x:c r="H92" s="17" t="str"/>
      <x:c r="I92" s="17" t="str"/>
      <x:c r="J92" s="17" t="str"/>
      <x:c r="K92" s="17" t="str"/>
      <x:c r="L92" s="17" t="str"/>
      <x:c r="M92" s="17" t="str">
        <x:v>PENDING WHOLE-VIDEO REVIEW</x:v>
      </x:c>
      <x:c r="N92" s="15" t="n">
        <x:v>502</x:v>
      </x:c>
      <x:c r="O92" s="15" t="n">
        <x:v>3064</x:v>
      </x:c>
      <x:c r="P92" s="15" t="n">
        <x:v>863</x:v>
      </x:c>
      <x:c r="Q92" s="13" t="str">
        <x:v>NO_LARGE_TAIL_GAP</x:v>
      </x:c>
      <x:c r="R92" s="13" t="str"/>
      <x:c r="S92" s="16" t="n">
        <x:v>0</x:v>
      </x:c>
      <x:c r="T92" s="13" t="str">
        <x:v>4137053db4f69f94ac91c16fa160d330d95bfb26cbd7fda7b49e48e10f59387e</x:v>
      </x:c>
    </x:row>
    <x:row r="93" ht="15" hidden="0" customHeight="1">
      <x:c r="A93" s="13" t="str">
        <x:v>72a1vZ-5p9M</x:v>
      </x:c>
      <x:c r="B93" s="13" t="str">
        <x:v>Stock Trading Tactics | The Stop Loss</x:v>
      </x:c>
      <x:c r="C93" s="14" t="d">
        <x:v>2020-10-06T00:00:00.000Z</x:v>
      </x:c>
      <x:c r="D93" s="18" t="e">
        <x:f>HYPERLINK("https://www.youtube.com/watch?v=72a1vZ-5p9M","Watch video")</x:f>
        <x:v>HYPERLINK is not implemented. linkLocation=https://www.youtube.com/watch?v=72a1vZ-5p9M, friendlyName=Watch video</x:v>
      </x:c>
      <x:c r="E93" s="18" t="e">
        <x:f>HYPERLINK("transcripts/72a1vZ-5p9M.html","Complete transcript")</x:f>
        <x:v>HYPERLINK is not implemented. linkLocation=transcripts/72a1vZ-5p9M.html, friendlyName=Complete transcript</x:v>
      </x:c>
      <x:c r="F93" s="13" t="str">
        <x:v>PETE_EXPLICIT</x:v>
      </x:c>
      <x:c r="G93" s="17" t="str">
        <x:v>UNREVIEWED</x:v>
      </x:c>
      <x:c r="H93" s="17" t="str"/>
      <x:c r="I93" s="17" t="str"/>
      <x:c r="J93" s="17" t="str"/>
      <x:c r="K93" s="17" t="str"/>
      <x:c r="L93" s="17" t="str"/>
      <x:c r="M93" s="17" t="str">
        <x:v>PENDING WHOLE-VIDEO REVIEW</x:v>
      </x:c>
      <x:c r="N93" s="15" t="n">
        <x:v>505</x:v>
      </x:c>
      <x:c r="O93" s="15" t="n">
        <x:v>3115</x:v>
      </x:c>
      <x:c r="P93" s="15" t="n">
        <x:v>877</x:v>
      </x:c>
      <x:c r="Q93" s="13" t="str">
        <x:v>NO_LARGE_TAIL_GAP</x:v>
      </x:c>
      <x:c r="R93" s="13" t="str"/>
      <x:c r="S93" s="16" t="n">
        <x:v>0</x:v>
      </x:c>
      <x:c r="T93" s="13" t="str">
        <x:v>27e65c3127b1ada5f7b2d823fa4abd84ca221762e29b0d2d66126333073af65d</x:v>
      </x:c>
    </x:row>
    <x:row r="94" ht="15" hidden="0" customHeight="1">
      <x:c r="A94" s="13" t="str">
        <x:v>7DplDjIx0H8</x:v>
      </x:c>
      <x:c r="B94" s="13" t="str">
        <x:v>Pot Stocks Today | 4-16-20 Stocks for Breakfast</x:v>
      </x:c>
      <x:c r="C94" s="14" t="d">
        <x:v>2020-04-16T00:00:00.000Z</x:v>
      </x:c>
      <x:c r="D94" s="18" t="e">
        <x:f>HYPERLINK("https://www.youtube.com/watch?v=7DplDjIx0H8","Watch video")</x:f>
        <x:v>HYPERLINK is not implemented. linkLocation=https://www.youtube.com/watch?v=7DplDjIx0H8, friendlyName=Watch video</x:v>
      </x:c>
      <x:c r="E94" s="18" t="e">
        <x:f>HYPERLINK("transcripts/7DplDjIx0H8.html","Complete transcript")</x:f>
        <x:v>HYPERLINK is not implemented. linkLocation=transcripts/7DplDjIx0H8.html, friendlyName=Complete transcript</x:v>
      </x:c>
      <x:c r="F94" s="13" t="str">
        <x:v>UNKNOWN_REQUIRES_REVIEW</x:v>
      </x:c>
      <x:c r="G94" s="17" t="str">
        <x:v>UNREVIEWED</x:v>
      </x:c>
      <x:c r="H94" s="17" t="str"/>
      <x:c r="I94" s="17" t="str"/>
      <x:c r="J94" s="17" t="str"/>
      <x:c r="K94" s="17" t="str"/>
      <x:c r="L94" s="17" t="str"/>
      <x:c r="M94" s="17" t="str">
        <x:v>PENDING WHOLE-VIDEO REVIEW</x:v>
      </x:c>
      <x:c r="N94" s="15" t="n">
        <x:v>635</x:v>
      </x:c>
      <x:c r="O94" s="15" t="n">
        <x:v>4616</x:v>
      </x:c>
      <x:c r="P94" s="15" t="n">
        <x:v>1452</x:v>
      </x:c>
      <x:c r="Q94" s="13" t="str">
        <x:v>NO_LARGE_TAIL_GAP</x:v>
      </x:c>
      <x:c r="R94" s="13" t="str"/>
      <x:c r="S94" s="16" t="n">
        <x:v>0</x:v>
      </x:c>
      <x:c r="T94" s="13" t="str">
        <x:v>7fb4f47fa1b7c052f3f74a15b0249aaacb42ef2ae4be0d777a4d58e639324c19</x:v>
      </x:c>
    </x:row>
    <x:row r="95" ht="15" hidden="0" customHeight="1">
      <x:c r="A95" s="13" t="str">
        <x:v>7Oi7nPgqAB4</x:v>
      </x:c>
      <x:c r="B95" s="13" t="str">
        <x:v>Stock Market Bullish Today 4-17-20 | Stocks for Breakfast</x:v>
      </x:c>
      <x:c r="C95" s="14" t="d">
        <x:v>2020-04-17T00:00:00.000Z</x:v>
      </x:c>
      <x:c r="D95" s="18" t="e">
        <x:f>HYPERLINK("https://www.youtube.com/watch?v=7Oi7nPgqAB4","Watch video")</x:f>
        <x:v>HYPERLINK is not implemented. linkLocation=https://www.youtube.com/watch?v=7Oi7nPgqAB4, friendlyName=Watch video</x:v>
      </x:c>
      <x:c r="E95" s="18" t="e">
        <x:f>HYPERLINK("transcripts/7Oi7nPgqAB4.html","Complete transcript")</x:f>
        <x:v>HYPERLINK is not implemented. linkLocation=transcripts/7Oi7nPgqAB4.html, friendlyName=Complete transcript</x:v>
      </x:c>
      <x:c r="F95" s="13" t="str">
        <x:v>UNKNOWN_REQUIRES_REVIEW</x:v>
      </x:c>
      <x:c r="G95" s="17" t="str">
        <x:v>UNREVIEWED</x:v>
      </x:c>
      <x:c r="H95" s="17" t="str"/>
      <x:c r="I95" s="17" t="str"/>
      <x:c r="J95" s="17" t="str"/>
      <x:c r="K95" s="17" t="str"/>
      <x:c r="L95" s="17" t="str"/>
      <x:c r="M95" s="17" t="str">
        <x:v>PENDING WHOLE-VIDEO REVIEW</x:v>
      </x:c>
      <x:c r="N95" s="15" t="n">
        <x:v>481</x:v>
      </x:c>
      <x:c r="O95" s="15" t="n">
        <x:v>3476</x:v>
      </x:c>
      <x:c r="P95" s="15" t="n">
        <x:v>1115</x:v>
      </x:c>
      <x:c r="Q95" s="13" t="str">
        <x:v>NO_LARGE_TAIL_GAP</x:v>
      </x:c>
      <x:c r="R95" s="13" t="str"/>
      <x:c r="S95" s="16" t="n">
        <x:v>0</x:v>
      </x:c>
      <x:c r="T95" s="13" t="str">
        <x:v>bd324ff6401ab851f5ab15e1d2697ac395c5b4c3894848d8f4598b0559f07b01</x:v>
      </x:c>
    </x:row>
    <x:row r="96" ht="15" hidden="0" customHeight="1">
      <x:c r="A96" s="13" t="str">
        <x:v>7YKav2iMW08</x:v>
      </x:c>
      <x:c r="B96" s="13" t="str">
        <x:v>Stock Trading Secrets | Reliable Profits</x:v>
      </x:c>
      <x:c r="C96" s="14" t="d">
        <x:v>2020-09-15T00:00:00.000Z</x:v>
      </x:c>
      <x:c r="D96" s="18" t="e">
        <x:f>HYPERLINK("https://www.youtube.com/watch?v=7YKav2iMW08","Watch video")</x:f>
        <x:v>HYPERLINK is not implemented. linkLocation=https://www.youtube.com/watch?v=7YKav2iMW08, friendlyName=Watch video</x:v>
      </x:c>
      <x:c r="E96" s="18" t="e">
        <x:f>HYPERLINK("transcripts/7YKav2iMW08.html","Complete transcript")</x:f>
        <x:v>HYPERLINK is not implemented. linkLocation=transcripts/7YKav2iMW08.html, friendlyName=Complete transcript</x:v>
      </x:c>
      <x:c r="F96" s="13" t="str">
        <x:v>PETE_EXPLICIT</x:v>
      </x:c>
      <x:c r="G96" s="17" t="str">
        <x:v>UNREVIEWED</x:v>
      </x:c>
      <x:c r="H96" s="17" t="str"/>
      <x:c r="I96" s="17" t="str"/>
      <x:c r="J96" s="17" t="str"/>
      <x:c r="K96" s="17" t="str"/>
      <x:c r="L96" s="17" t="str"/>
      <x:c r="M96" s="17" t="str">
        <x:v>PENDING WHOLE-VIDEO REVIEW</x:v>
      </x:c>
      <x:c r="N96" s="15" t="n">
        <x:v>318</x:v>
      </x:c>
      <x:c r="O96" s="15" t="n">
        <x:v>1963</x:v>
      </x:c>
      <x:c r="P96" s="15" t="n">
        <x:v>601</x:v>
      </x:c>
      <x:c r="Q96" s="13" t="str">
        <x:v>NO_LARGE_TAIL_GAP</x:v>
      </x:c>
      <x:c r="R96" s="13" t="str"/>
      <x:c r="S96" s="16" t="n">
        <x:v>0</x:v>
      </x:c>
      <x:c r="T96" s="13" t="str">
        <x:v>05802b9b1dd293ff9b2b520e417f83921ffac1cb9d681281b33c14346681a56f</x:v>
      </x:c>
    </x:row>
    <x:row r="97" ht="15" hidden="0" customHeight="1">
      <x:c r="A97" s="13" t="str">
        <x:v>7bQzTpErqmg</x:v>
      </x:c>
      <x:c r="B97" s="13" t="str">
        <x:v>Stocks for Breakfast | 2020 Trading Lessons</x:v>
      </x:c>
      <x:c r="C97" s="14" t="d">
        <x:v>2020-12-31T00:00:00.000Z</x:v>
      </x:c>
      <x:c r="D97" s="18" t="e">
        <x:f>HYPERLINK("https://www.youtube.com/watch?v=7bQzTpErqmg","Watch video")</x:f>
        <x:v>HYPERLINK is not implemented. linkLocation=https://www.youtube.com/watch?v=7bQzTpErqmg, friendlyName=Watch video</x:v>
      </x:c>
      <x:c r="E97" s="18" t="e">
        <x:f>HYPERLINK("transcripts/7bQzTpErqmg.html","Complete transcript")</x:f>
        <x:v>HYPERLINK is not implemented. linkLocation=transcripts/7bQzTpErqmg.html, friendlyName=Complete transcript</x:v>
      </x:c>
      <x:c r="F97" s="13" t="str">
        <x:v>PETE_EXPLICIT</x:v>
      </x:c>
      <x:c r="G97" s="17" t="str">
        <x:v>UNREVIEWED</x:v>
      </x:c>
      <x:c r="H97" s="17" t="str"/>
      <x:c r="I97" s="17" t="str"/>
      <x:c r="J97" s="17" t="str"/>
      <x:c r="K97" s="17" t="str"/>
      <x:c r="L97" s="17" t="str"/>
      <x:c r="M97" s="17" t="str">
        <x:v>PENDING WHOLE-VIDEO REVIEW</x:v>
      </x:c>
      <x:c r="N97" s="15" t="n">
        <x:v>329</x:v>
      </x:c>
      <x:c r="O97" s="15" t="n">
        <x:v>2005</x:v>
      </x:c>
      <x:c r="P97" s="15" t="n">
        <x:v>606</x:v>
      </x:c>
      <x:c r="Q97" s="13" t="str">
        <x:v>NO_LARGE_TAIL_GAP</x:v>
      </x:c>
      <x:c r="R97" s="13" t="str"/>
      <x:c r="S97" s="16" t="n">
        <x:v>0</x:v>
      </x:c>
      <x:c r="T97" s="13" t="str">
        <x:v>39715a759b7e86f534cbb1a6c92b213df21e717c5f99c0f31de526258958812a</x:v>
      </x:c>
    </x:row>
    <x:row r="98" ht="15" hidden="0" customHeight="1">
      <x:c r="A98" s="13" t="str">
        <x:v>7n1JzWIkb8c</x:v>
      </x:c>
      <x:c r="B98" s="13" t="str">
        <x:v>Best Stock Picks Today | TWTR Implodes After Ban Implodes 1-11-21</x:v>
      </x:c>
      <x:c r="C98" s="14" t="d">
        <x:v>2021-01-11T00:00:00.000Z</x:v>
      </x:c>
      <x:c r="D98" s="18" t="e">
        <x:f>HYPERLINK("https://www.youtube.com/watch?v=7n1JzWIkb8c","Watch video")</x:f>
        <x:v>HYPERLINK is not implemented. linkLocation=https://www.youtube.com/watch?v=7n1JzWIkb8c, friendlyName=Watch video</x:v>
      </x:c>
      <x:c r="E98" s="18" t="e">
        <x:f>HYPERLINK("transcripts/7n1JzWIkb8c.html","Complete transcript")</x:f>
        <x:v>HYPERLINK is not implemented. linkLocation=transcripts/7n1JzWIkb8c.html, friendlyName=Complete transcript</x:v>
      </x:c>
      <x:c r="F98" s="13" t="str">
        <x:v>PETE_EXPLICIT</x:v>
      </x:c>
      <x:c r="G98" s="17" t="str">
        <x:v>UNREVIEWED</x:v>
      </x:c>
      <x:c r="H98" s="17" t="str"/>
      <x:c r="I98" s="17" t="str"/>
      <x:c r="J98" s="17" t="str"/>
      <x:c r="K98" s="17" t="str"/>
      <x:c r="L98" s="17" t="str"/>
      <x:c r="M98" s="17" t="str">
        <x:v>PENDING WHOLE-VIDEO REVIEW</x:v>
      </x:c>
      <x:c r="N98" s="15" t="n">
        <x:v>400</x:v>
      </x:c>
      <x:c r="O98" s="15" t="n">
        <x:v>2531</x:v>
      </x:c>
      <x:c r="P98" s="15" t="n">
        <x:v>688</x:v>
      </x:c>
      <x:c r="Q98" s="13" t="str">
        <x:v>NO_LARGE_TAIL_GAP</x:v>
      </x:c>
      <x:c r="R98" s="13" t="str"/>
      <x:c r="S98" s="16" t="n">
        <x:v>0</x:v>
      </x:c>
      <x:c r="T98" s="13" t="str">
        <x:v>0d115d6a8a2dde6253bbbc1c02894c296511c8066df49656afffa6b442c814d6</x:v>
      </x:c>
    </x:row>
    <x:row r="99" ht="15" hidden="0" customHeight="1">
      <x:c r="A99" s="13" t="str">
        <x:v>7re4oH43LGU</x:v>
      </x:c>
      <x:c r="B99" s="13" t="str">
        <x:v>How to Pick the Right Stocks to Buy Now 2021</x:v>
      </x:c>
      <x:c r="C99" s="14" t="d">
        <x:v>2021-05-12T00:00:00.000Z</x:v>
      </x:c>
      <x:c r="D99" s="18" t="e">
        <x:f>HYPERLINK("https://www.youtube.com/watch?v=7re4oH43LGU","Watch video")</x:f>
        <x:v>HYPERLINK is not implemented. linkLocation=https://www.youtube.com/watch?v=7re4oH43LGU, friendlyName=Watch video</x:v>
      </x:c>
      <x:c r="E99" s="18" t="e">
        <x:f>HYPERLINK("transcripts/7re4oH43LGU.html","Complete transcript")</x:f>
        <x:v>HYPERLINK is not implemented. linkLocation=transcripts/7re4oH43LGU.html, friendlyName=Complete transcript</x:v>
      </x:c>
      <x:c r="F99" s="13" t="str">
        <x:v>PETE_EXPLICIT</x:v>
      </x:c>
      <x:c r="G99" s="17" t="str">
        <x:v>UNREVIEWED</x:v>
      </x:c>
      <x:c r="H99" s="17" t="str"/>
      <x:c r="I99" s="17" t="str"/>
      <x:c r="J99" s="17" t="str"/>
      <x:c r="K99" s="17" t="str"/>
      <x:c r="L99" s="17" t="str"/>
      <x:c r="M99" s="17" t="str">
        <x:v>PENDING WHOLE-VIDEO REVIEW</x:v>
      </x:c>
      <x:c r="N99" s="15" t="n">
        <x:v>199</x:v>
      </x:c>
      <x:c r="O99" s="15" t="n">
        <x:v>1188</x:v>
      </x:c>
      <x:c r="P99" s="15" t="n">
        <x:v>378</x:v>
      </x:c>
      <x:c r="Q99" s="13" t="str">
        <x:v>NO_LARGE_TAIL_GAP</x:v>
      </x:c>
      <x:c r="R99" s="13" t="str"/>
      <x:c r="S99" s="16" t="n">
        <x:v>0</x:v>
      </x:c>
      <x:c r="T99" s="13" t="str">
        <x:v>9a2877e6c9453516853f496cbd32ab8b9e40dd2d20084431a4328572f934b2ac</x:v>
      </x:c>
    </x:row>
    <x:row r="100" ht="15" hidden="0" customHeight="1">
      <x:c r="A100" s="13" t="str">
        <x:v>7tC3GDX-jLM</x:v>
      </x:c>
      <x:c r="B100" s="13" t="str">
        <x:v>SPY ETF Trade 8-10-20 |  Best Stock Picks Today</x:v>
      </x:c>
      <x:c r="C100" s="14" t="d">
        <x:v>2020-08-10T00:00:00.000Z</x:v>
      </x:c>
      <x:c r="D100" s="18" t="e">
        <x:f>HYPERLINK("https://www.youtube.com/watch?v=7tC3GDX-jLM","Watch video")</x:f>
        <x:v>HYPERLINK is not implemented. linkLocation=https://www.youtube.com/watch?v=7tC3GDX-jLM, friendlyName=Watch video</x:v>
      </x:c>
      <x:c r="E100" s="18" t="e">
        <x:f>HYPERLINK("transcripts/7tC3GDX-jLM.html","Complete transcript")</x:f>
        <x:v>HYPERLINK is not implemented. linkLocation=transcripts/7tC3GDX-jLM.html, friendlyName=Complete transcript</x:v>
      </x:c>
      <x:c r="F100" s="13" t="str">
        <x:v>PETE_EXPLICIT</x:v>
      </x:c>
      <x:c r="G100" s="17" t="str">
        <x:v>UNREVIEWED</x:v>
      </x:c>
      <x:c r="H100" s="17" t="str"/>
      <x:c r="I100" s="17" t="str"/>
      <x:c r="J100" s="17" t="str"/>
      <x:c r="K100" s="17" t="str"/>
      <x:c r="L100" s="17" t="str"/>
      <x:c r="M100" s="17" t="str">
        <x:v>PENDING WHOLE-VIDEO REVIEW</x:v>
      </x:c>
      <x:c r="N100" s="15" t="n">
        <x:v>520</x:v>
      </x:c>
      <x:c r="O100" s="15" t="n">
        <x:v>3374</x:v>
      </x:c>
      <x:c r="P100" s="15" t="n">
        <x:v>854</x:v>
      </x:c>
      <x:c r="Q100" s="13" t="str">
        <x:v>NO_LARGE_TAIL_GAP</x:v>
      </x:c>
      <x:c r="R100" s="13" t="str"/>
      <x:c r="S100" s="16" t="n">
        <x:v>0</x:v>
      </x:c>
      <x:c r="T100" s="13" t="str">
        <x:v>ec200aaa4c7d21dbd024646075a98b27f6cdf5fd0b9d6d1eb3414b2902d8b605</x:v>
      </x:c>
    </x:row>
    <x:row r="101" ht="15" hidden="0" customHeight="1">
      <x:c r="A101" s="13" t="str">
        <x:v>84hPxdVZwrY</x:v>
      </x:c>
      <x:c r="B101" s="13" t="str">
        <x:v>Stocks for Breakfast | Swing Trade Review: FANG</x:v>
      </x:c>
      <x:c r="C101" s="14" t="d">
        <x:v>2021-01-13T00:00:00.000Z</x:v>
      </x:c>
      <x:c r="D101" s="18" t="e">
        <x:f>HYPERLINK("https://www.youtube.com/watch?v=84hPxdVZwrY","Watch video")</x:f>
        <x:v>HYPERLINK is not implemented. linkLocation=https://www.youtube.com/watch?v=84hPxdVZwrY, friendlyName=Watch video</x:v>
      </x:c>
      <x:c r="E101" s="18" t="e">
        <x:f>HYPERLINK("transcripts/84hPxdVZwrY.html","Complete transcript")</x:f>
        <x:v>HYPERLINK is not implemented. linkLocation=transcripts/84hPxdVZwrY.html, friendlyName=Complete transcript</x:v>
      </x:c>
      <x:c r="F101" s="13" t="str">
        <x:v>PETE_EXPLICIT</x:v>
      </x:c>
      <x:c r="G101" s="17" t="str">
        <x:v>UNREVIEWED</x:v>
      </x:c>
      <x:c r="H101" s="17" t="str"/>
      <x:c r="I101" s="17" t="str"/>
      <x:c r="J101" s="17" t="str"/>
      <x:c r="K101" s="17" t="str"/>
      <x:c r="L101" s="17" t="str"/>
      <x:c r="M101" s="17" t="str">
        <x:v>PENDING WHOLE-VIDEO REVIEW</x:v>
      </x:c>
      <x:c r="N101" s="15" t="n">
        <x:v>206</x:v>
      </x:c>
      <x:c r="O101" s="15" t="n">
        <x:v>1294</x:v>
      </x:c>
      <x:c r="P101" s="15" t="n">
        <x:v>375</x:v>
      </x:c>
      <x:c r="Q101" s="13" t="str">
        <x:v>NO_LARGE_TAIL_GAP</x:v>
      </x:c>
      <x:c r="R101" s="13" t="str"/>
      <x:c r="S101" s="16" t="n">
        <x:v>0</x:v>
      </x:c>
      <x:c r="T101" s="13" t="str">
        <x:v>2b3892703e6aa0693c8211f9ce3f8c097593316bb91d979b9b9cda9422748cc3</x:v>
      </x:c>
    </x:row>
    <x:row r="102" ht="15" hidden="0" customHeight="1">
      <x:c r="A102" s="13" t="str">
        <x:v>86W_aSp8KL4</x:v>
      </x:c>
      <x:c r="B102" s="13" t="str">
        <x:v>Stocks for Breakfast | Buying at the Right Time</x:v>
      </x:c>
      <x:c r="C102" s="14" t="d">
        <x:v>2020-12-22T00:00:00.000Z</x:v>
      </x:c>
      <x:c r="D102" s="18" t="e">
        <x:f>HYPERLINK("https://www.youtube.com/watch?v=86W_aSp8KL4","Watch video")</x:f>
        <x:v>HYPERLINK is not implemented. linkLocation=https://www.youtube.com/watch?v=86W_aSp8KL4, friendlyName=Watch video</x:v>
      </x:c>
      <x:c r="E102" s="18" t="e">
        <x:f>HYPERLINK("transcripts/86W_aSp8KL4.html","Complete transcript")</x:f>
        <x:v>HYPERLINK is not implemented. linkLocation=transcripts/86W_aSp8KL4.html, friendlyName=Complete transcript</x:v>
      </x:c>
      <x:c r="F102" s="13" t="str">
        <x:v>PETE_EXPLICIT</x:v>
      </x:c>
      <x:c r="G102" s="17" t="str">
        <x:v>UNREVIEWED</x:v>
      </x:c>
      <x:c r="H102" s="17" t="str"/>
      <x:c r="I102" s="17" t="str"/>
      <x:c r="J102" s="17" t="str"/>
      <x:c r="K102" s="17" t="str"/>
      <x:c r="L102" s="17" t="str"/>
      <x:c r="M102" s="17" t="str">
        <x:v>PENDING WHOLE-VIDEO REVIEW</x:v>
      </x:c>
      <x:c r="N102" s="15" t="n">
        <x:v>118</x:v>
      </x:c>
      <x:c r="O102" s="15" t="n">
        <x:v>722</x:v>
      </x:c>
      <x:c r="P102" s="15" t="n">
        <x:v>214</x:v>
      </x:c>
      <x:c r="Q102" s="13" t="str">
        <x:v>NO_LARGE_TAIL_GAP</x:v>
      </x:c>
      <x:c r="R102" s="13" t="str"/>
      <x:c r="S102" s="16" t="n">
        <x:v>0</x:v>
      </x:c>
      <x:c r="T102" s="13" t="str">
        <x:v>5663e5ae4fedfd73bfdc5d93e9b53d34709351d589e8155770f1e13468bbad78</x:v>
      </x:c>
    </x:row>
    <x:row r="103" ht="15" hidden="0" customHeight="1">
      <x:c r="A103" s="13" t="str">
        <x:v>8EYcl0VEu9Y</x:v>
      </x:c>
      <x:c r="B103" s="13" t="str">
        <x:v>Best Stock Picks Today General Motors 1 12 21</x:v>
      </x:c>
      <x:c r="C103" s="14" t="d">
        <x:v>2021-01-12T00:00:00.000Z</x:v>
      </x:c>
      <x:c r="D103" s="18" t="e">
        <x:f>HYPERLINK("https://www.youtube.com/watch?v=8EYcl0VEu9Y","Watch video")</x:f>
        <x:v>HYPERLINK is not implemented. linkLocation=https://www.youtube.com/watch?v=8EYcl0VEu9Y, friendlyName=Watch video</x:v>
      </x:c>
      <x:c r="E103" s="18" t="e">
        <x:f>HYPERLINK("transcripts/8EYcl0VEu9Y.html","Complete transcript")</x:f>
        <x:v>HYPERLINK is not implemented. linkLocation=transcripts/8EYcl0VEu9Y.html, friendlyName=Complete transcript</x:v>
      </x:c>
      <x:c r="F103" s="13" t="str">
        <x:v>PETE_EXPLICIT</x:v>
      </x:c>
      <x:c r="G103" s="17" t="str">
        <x:v>UNREVIEWED</x:v>
      </x:c>
      <x:c r="H103" s="17" t="str"/>
      <x:c r="I103" s="17" t="str"/>
      <x:c r="J103" s="17" t="str"/>
      <x:c r="K103" s="17" t="str"/>
      <x:c r="L103" s="17" t="str"/>
      <x:c r="M103" s="17" t="str">
        <x:v>PENDING WHOLE-VIDEO REVIEW</x:v>
      </x:c>
      <x:c r="N103" s="15" t="n">
        <x:v>394</x:v>
      </x:c>
      <x:c r="O103" s="15" t="n">
        <x:v>2403</x:v>
      </x:c>
      <x:c r="P103" s="15" t="n">
        <x:v>717</x:v>
      </x:c>
      <x:c r="Q103" s="13" t="str">
        <x:v>NO_LARGE_TAIL_GAP</x:v>
      </x:c>
      <x:c r="R103" s="13" t="str"/>
      <x:c r="S103" s="16" t="n">
        <x:v>0</x:v>
      </x:c>
      <x:c r="T103" s="13" t="str">
        <x:v>ca2b3508ab6c7a4e254d7bdd723b240ebb3ce2044961757fd4a415fda6f77887</x:v>
      </x:c>
    </x:row>
    <x:row r="104" ht="15" hidden="0" customHeight="1">
      <x:c r="A104" s="13" t="str">
        <x:v>8F3fe1IzzA4</x:v>
      </x:c>
      <x:c r="B104" s="13" t="str">
        <x:v>Choosing the Best Stock Picks After the Market Opens</x:v>
      </x:c>
      <x:c r="C104" s="14" t="d">
        <x:v>2020-03-25T00:00:00.000Z</x:v>
      </x:c>
      <x:c r="D104" s="18" t="e">
        <x:f>HYPERLINK("https://www.youtube.com/watch?v=8F3fe1IzzA4","Watch video")</x:f>
        <x:v>HYPERLINK is not implemented. linkLocation=https://www.youtube.com/watch?v=8F3fe1IzzA4, friendlyName=Watch video</x:v>
      </x:c>
      <x:c r="E104" s="18" t="e">
        <x:f>HYPERLINK("transcripts/8F3fe1IzzA4.html","Complete transcript")</x:f>
        <x:v>HYPERLINK is not implemented. linkLocation=transcripts/8F3fe1IzzA4.html, friendlyName=Complete transcript</x:v>
      </x:c>
      <x:c r="F104" s="13" t="str">
        <x:v>UNKNOWN_REQUIRES_REVIEW</x:v>
      </x:c>
      <x:c r="G104" s="17" t="str">
        <x:v>UNREVIEWED</x:v>
      </x:c>
      <x:c r="H104" s="17" t="str"/>
      <x:c r="I104" s="17" t="str"/>
      <x:c r="J104" s="17" t="str"/>
      <x:c r="K104" s="17" t="str"/>
      <x:c r="L104" s="17" t="str"/>
      <x:c r="M104" s="17" t="str">
        <x:v>PENDING WHOLE-VIDEO REVIEW</x:v>
      </x:c>
      <x:c r="N104" s="15" t="n">
        <x:v>475</x:v>
      </x:c>
      <x:c r="O104" s="15" t="n">
        <x:v>3422</x:v>
      </x:c>
      <x:c r="P104" s="15" t="n">
        <x:v>1011</x:v>
      </x:c>
      <x:c r="Q104" s="13" t="str">
        <x:v>NO_LARGE_TAIL_GAP</x:v>
      </x:c>
      <x:c r="R104" s="13" t="str"/>
      <x:c r="S104" s="16" t="n">
        <x:v>0</x:v>
      </x:c>
      <x:c r="T104" s="13" t="str">
        <x:v>38a3194b14f9a14821cac59e7c628651d5320f851e9f80a79b6ed6ab07c9ad63</x:v>
      </x:c>
    </x:row>
    <x:row r="105" ht="15" hidden="0" customHeight="1">
      <x:c r="A105" s="13" t="str">
        <x:v>8Qzs-KCdHiY</x:v>
      </x:c>
      <x:c r="B105" s="13" t="str">
        <x:v>How Your Trading Mindset Determines Success</x:v>
      </x:c>
      <x:c r="C105" s="14" t="d">
        <x:v>2024-09-22T00:00:00.000Z</x:v>
      </x:c>
      <x:c r="D105" s="18" t="e">
        <x:f>HYPERLINK("https://www.youtube.com/watch?v=8Qzs-KCdHiY","Watch video")</x:f>
        <x:v>HYPERLINK is not implemented. linkLocation=https://www.youtube.com/watch?v=8Qzs-KCdHiY, friendlyName=Watch video</x:v>
      </x:c>
      <x:c r="E105" s="18" t="e">
        <x:f>HYPERLINK("transcripts/8Qzs-KCdHiY.html","Complete transcript")</x:f>
        <x:v>HYPERLINK is not implemented. linkLocation=transcripts/8Qzs-KCdHiY.html, friendlyName=Complete transcript</x:v>
      </x:c>
      <x:c r="F105" s="13" t="str">
        <x:v>UNKNOWN_REQUIRES_REVIEW</x:v>
      </x:c>
      <x:c r="G105" s="17" t="str">
        <x:v>UNREVIEWED</x:v>
      </x:c>
      <x:c r="H105" s="17" t="str"/>
      <x:c r="I105" s="17" t="str"/>
      <x:c r="J105" s="17" t="str"/>
      <x:c r="K105" s="17" t="str"/>
      <x:c r="L105" s="17" t="str"/>
      <x:c r="M105" s="17" t="str">
        <x:v>PENDING WHOLE-VIDEO REVIEW</x:v>
      </x:c>
      <x:c r="N105" s="15" t="n">
        <x:v>1815</x:v>
      </x:c>
      <x:c r="O105" s="15" t="n">
        <x:v>13639</x:v>
      </x:c>
      <x:c r="P105" s="15" t="n">
        <x:v>3778</x:v>
      </x:c>
      <x:c r="Q105" s="13" t="str">
        <x:v>NO_LARGE_TAIL_GAP</x:v>
      </x:c>
      <x:c r="R105" s="13" t="str"/>
      <x:c r="S105" s="16" t="n">
        <x:v>0</x:v>
      </x:c>
      <x:c r="T105" s="13" t="str">
        <x:v>aaf96b11728cb48a2b15913b71d563c9af4ff66eb77fb98a8d77ccb03c2e7564</x:v>
      </x:c>
    </x:row>
    <x:row r="106" ht="15" hidden="0" customHeight="1">
      <x:c r="A106" s="13" t="str">
        <x:v>8Yo6bmWtaIM</x:v>
      </x:c>
      <x:c r="B106" s="13" t="str">
        <x:v>How To Find A+ Trades and Reduce the Overwhelm</x:v>
      </x:c>
      <x:c r="C106" s="14" t="d">
        <x:v>2020-06-12T00:00:00.000Z</x:v>
      </x:c>
      <x:c r="D106" s="18" t="e">
        <x:f>HYPERLINK("https://www.youtube.com/watch?v=8Yo6bmWtaIM","Watch video")</x:f>
        <x:v>HYPERLINK is not implemented. linkLocation=https://www.youtube.com/watch?v=8Yo6bmWtaIM, friendlyName=Watch video</x:v>
      </x:c>
      <x:c r="E106" s="18" t="e">
        <x:f>HYPERLINK("transcripts/8Yo6bmWtaIM.html","Complete transcript")</x:f>
        <x:v>HYPERLINK is not implemented. linkLocation=transcripts/8Yo6bmWtaIM.html, friendlyName=Complete transcript</x:v>
      </x:c>
      <x:c r="F106" s="13" t="str">
        <x:v>UNKNOWN_REQUIRES_REVIEW</x:v>
      </x:c>
      <x:c r="G106" s="17" t="str">
        <x:v>UNREVIEWED</x:v>
      </x:c>
      <x:c r="H106" s="17" t="str"/>
      <x:c r="I106" s="17" t="str"/>
      <x:c r="J106" s="17" t="str"/>
      <x:c r="K106" s="17" t="str"/>
      <x:c r="L106" s="17" t="str"/>
      <x:c r="M106" s="17" t="str">
        <x:v>PENDING WHOLE-VIDEO REVIEW</x:v>
      </x:c>
      <x:c r="N106" s="15" t="n">
        <x:v>516</x:v>
      </x:c>
      <x:c r="O106" s="15" t="n">
        <x:v>3721</x:v>
      </x:c>
      <x:c r="P106" s="15" t="n">
        <x:v>1110</x:v>
      </x:c>
      <x:c r="Q106" s="13" t="str">
        <x:v>NO_LARGE_TAIL_GAP</x:v>
      </x:c>
      <x:c r="R106" s="13" t="str"/>
      <x:c r="S106" s="16" t="n">
        <x:v>0</x:v>
      </x:c>
      <x:c r="T106" s="13" t="str">
        <x:v>2ef28f06d06905d78606b4992bfa21572715d613290ec5aa7481bcde5ba5a5e4</x:v>
      </x:c>
    </x:row>
    <x:row r="107" ht="15" hidden="0" customHeight="1">
      <x:c r="A107" s="13" t="str">
        <x:v>8co5XInV2dQ</x:v>
      </x:c>
      <x:c r="B107" s="13" t="str">
        <x:v>Trading Strategies for Beginners | 5-1-20 Stocks for Breakfast</x:v>
      </x:c>
      <x:c r="C107" s="14" t="d">
        <x:v>2020-05-01T00:00:00.000Z</x:v>
      </x:c>
      <x:c r="D107" s="18" t="e">
        <x:f>HYPERLINK("https://www.youtube.com/watch?v=8co5XInV2dQ","Watch video")</x:f>
        <x:v>HYPERLINK is not implemented. linkLocation=https://www.youtube.com/watch?v=8co5XInV2dQ, friendlyName=Watch video</x:v>
      </x:c>
      <x:c r="E107" s="18" t="e">
        <x:f>HYPERLINK("transcripts/8co5XInV2dQ.html","Complete transcript")</x:f>
        <x:v>HYPERLINK is not implemented. linkLocation=transcripts/8co5XInV2dQ.html, friendlyName=Complete transcript</x:v>
      </x:c>
      <x:c r="F107" s="13" t="str">
        <x:v>UNKNOWN_REQUIRES_REVIEW</x:v>
      </x:c>
      <x:c r="G107" s="17" t="str">
        <x:v>UNREVIEWED</x:v>
      </x:c>
      <x:c r="H107" s="17" t="str"/>
      <x:c r="I107" s="17" t="str"/>
      <x:c r="J107" s="17" t="str"/>
      <x:c r="K107" s="17" t="str"/>
      <x:c r="L107" s="17" t="str"/>
      <x:c r="M107" s="17" t="str">
        <x:v>PENDING WHOLE-VIDEO REVIEW</x:v>
      </x:c>
      <x:c r="N107" s="15" t="n">
        <x:v>526</x:v>
      </x:c>
      <x:c r="O107" s="15" t="n">
        <x:v>3807</x:v>
      </x:c>
      <x:c r="P107" s="15" t="n">
        <x:v>1208</x:v>
      </x:c>
      <x:c r="Q107" s="13" t="str">
        <x:v>NO_LARGE_TAIL_GAP</x:v>
      </x:c>
      <x:c r="R107" s="13" t="str"/>
      <x:c r="S107" s="16" t="n">
        <x:v>0</x:v>
      </x:c>
      <x:c r="T107" s="13" t="str">
        <x:v>4b79759172a4f9ad3ae4b762ff8c24c5682a135b11cebaa4ad9452d1f331f58a</x:v>
      </x:c>
    </x:row>
    <x:row r="108" ht="15" hidden="0" customHeight="1">
      <x:c r="A108" s="13" t="str">
        <x:v>8pB3i-oSCMk</x:v>
      </x:c>
      <x:c r="B108" s="13" t="str">
        <x:v>6: Order Flow Trading: Price Action Trading Strategies</x:v>
      </x:c>
      <x:c r="C108" s="14" t="d">
        <x:v>2022-11-01T00:00:00.000Z</x:v>
      </x:c>
      <x:c r="D108" s="18" t="e">
        <x:f>HYPERLINK("https://www.youtube.com/watch?v=8pB3i-oSCMk","Watch video")</x:f>
        <x:v>HYPERLINK is not implemented. linkLocation=https://www.youtube.com/watch?v=8pB3i-oSCMk, friendlyName=Watch video</x:v>
      </x:c>
      <x:c r="E108" s="18" t="e">
        <x:f>HYPERLINK("transcripts/8pB3i-oSCMk.html","Complete transcript")</x:f>
        <x:v>HYPERLINK is not implemented. linkLocation=transcripts/8pB3i-oSCMk.html, friendlyName=Complete transcript</x:v>
      </x:c>
      <x:c r="F108" s="13" t="str">
        <x:v>UNKNOWN_REQUIRES_REVIEW</x:v>
      </x:c>
      <x:c r="G108" s="17" t="str">
        <x:v>UNREVIEWED</x:v>
      </x:c>
      <x:c r="H108" s="17" t="str"/>
      <x:c r="I108" s="17" t="str"/>
      <x:c r="J108" s="17" t="str"/>
      <x:c r="K108" s="17" t="str"/>
      <x:c r="L108" s="17" t="str"/>
      <x:c r="M108" s="17" t="str">
        <x:v>PENDING WHOLE-VIDEO REVIEW</x:v>
      </x:c>
      <x:c r="N108" s="15" t="n">
        <x:v>119</x:v>
      </x:c>
      <x:c r="O108" s="15" t="n">
        <x:v>852</x:v>
      </x:c>
      <x:c r="P108" s="15" t="n">
        <x:v>260</x:v>
      </x:c>
      <x:c r="Q108" s="13" t="str">
        <x:v>NO_LARGE_TAIL_GAP</x:v>
      </x:c>
      <x:c r="R108" s="13" t="str"/>
      <x:c r="S108" s="16" t="n">
        <x:v>0</x:v>
      </x:c>
      <x:c r="T108" s="13" t="str">
        <x:v>e6c34611d0a0ecf0d700ae19f8ba8416c563d6165576824a34108ac28ca1c210</x:v>
      </x:c>
    </x:row>
    <x:row r="109" ht="15" hidden="0" customHeight="1">
      <x:c r="A109" s="13" t="str">
        <x:v>8xftK3vrxdw</x:v>
      </x:c>
      <x:c r="B109" s="13" t="str">
        <x:v>Stock Market Analysis 3 30 20 Stocks for Breakfast | Best Stock Picks</x:v>
      </x:c>
      <x:c r="C109" s="14" t="d">
        <x:v>2020-03-30T00:00:00.000Z</x:v>
      </x:c>
      <x:c r="D109" s="18" t="e">
        <x:f>HYPERLINK("https://www.youtube.com/watch?v=8xftK3vrxdw","Watch video")</x:f>
        <x:v>HYPERLINK is not implemented. linkLocation=https://www.youtube.com/watch?v=8xftK3vrxdw, friendlyName=Watch video</x:v>
      </x:c>
      <x:c r="E109" s="18" t="e">
        <x:f>HYPERLINK("transcripts/8xftK3vrxdw.html","Complete transcript")</x:f>
        <x:v>HYPERLINK is not implemented. linkLocation=transcripts/8xftK3vrxdw.html, friendlyName=Complete transcript</x:v>
      </x:c>
      <x:c r="F109" s="13" t="str">
        <x:v>UNKNOWN_REQUIRES_REVIEW</x:v>
      </x:c>
      <x:c r="G109" s="17" t="str">
        <x:v>UNREVIEWED</x:v>
      </x:c>
      <x:c r="H109" s="17" t="str"/>
      <x:c r="I109" s="17" t="str"/>
      <x:c r="J109" s="17" t="str"/>
      <x:c r="K109" s="17" t="str"/>
      <x:c r="L109" s="17" t="str"/>
      <x:c r="M109" s="17" t="str">
        <x:v>PENDING WHOLE-VIDEO REVIEW</x:v>
      </x:c>
      <x:c r="N109" s="15" t="n">
        <x:v>640</x:v>
      </x:c>
      <x:c r="O109" s="15" t="n">
        <x:v>4625</x:v>
      </x:c>
      <x:c r="P109" s="15" t="n">
        <x:v>1341</x:v>
      </x:c>
      <x:c r="Q109" s="13" t="str">
        <x:v>NO_LARGE_TAIL_GAP</x:v>
      </x:c>
      <x:c r="R109" s="13" t="str"/>
      <x:c r="S109" s="16" t="n">
        <x:v>0</x:v>
      </x:c>
      <x:c r="T109" s="13" t="str">
        <x:v>9177c91afa9073a8388e3ccb09c12ec4ba9a41e8998a254898a5ad40956d63a6</x:v>
      </x:c>
    </x:row>
    <x:row r="110" ht="15" hidden="0" customHeight="1">
      <x:c r="A110" s="13" t="str">
        <x:v>9-jJtWwPqGc</x:v>
      </x:c>
      <x:c r="B110" s="13" t="str">
        <x:v>Gold Stocks to Buy | Best Stock Picks Today 7-27-20</x:v>
      </x:c>
      <x:c r="C110" s="14" t="d">
        <x:v>2020-07-27T00:00:00.000Z</x:v>
      </x:c>
      <x:c r="D110" s="18" t="e">
        <x:f>HYPERLINK("https://www.youtube.com/watch?v=9-jJtWwPqGc","Watch video")</x:f>
        <x:v>HYPERLINK is not implemented. linkLocation=https://www.youtube.com/watch?v=9-jJtWwPqGc, friendlyName=Watch video</x:v>
      </x:c>
      <x:c r="E110" s="18" t="e">
        <x:f>HYPERLINK("transcripts/9-jJtWwPqGc.html","Complete transcript")</x:f>
        <x:v>HYPERLINK is not implemented. linkLocation=transcripts/9-jJtWwPqGc.html, friendlyName=Complete transcript</x:v>
      </x:c>
      <x:c r="F110" s="13" t="str">
        <x:v>PETE_EXPLICIT</x:v>
      </x:c>
      <x:c r="G110" s="17" t="str">
        <x:v>UNREVIEWED</x:v>
      </x:c>
      <x:c r="H110" s="17" t="str"/>
      <x:c r="I110" s="17" t="str"/>
      <x:c r="J110" s="17" t="str"/>
      <x:c r="K110" s="17" t="str"/>
      <x:c r="L110" s="17" t="str"/>
      <x:c r="M110" s="17" t="str">
        <x:v>PENDING WHOLE-VIDEO REVIEW</x:v>
      </x:c>
      <x:c r="N110" s="15" t="n">
        <x:v>398</x:v>
      </x:c>
      <x:c r="O110" s="15" t="n">
        <x:v>2442</x:v>
      </x:c>
      <x:c r="P110" s="15" t="n">
        <x:v>722</x:v>
      </x:c>
      <x:c r="Q110" s="13" t="str">
        <x:v>NO_LARGE_TAIL_GAP</x:v>
      </x:c>
      <x:c r="R110" s="13" t="str"/>
      <x:c r="S110" s="16" t="n">
        <x:v>0</x:v>
      </x:c>
      <x:c r="T110" s="13" t="str">
        <x:v>0acd3183133af1c90bbde6fb888700b2cd01d7f09f29fce0b0a2f7b3bd190ade</x:v>
      </x:c>
    </x:row>
    <x:row r="111" ht="24" hidden="0" customHeight="1">
      <x:c r="A111" s="13" t="str">
        <x:v>9Dr79OkGioo</x:v>
      </x:c>
      <x:c r="B111" s="13" t="str">
        <x:v>The 60/40 Stock Trading Rule</x:v>
      </x:c>
      <x:c r="C111" s="14" t="d">
        <x:v>2022-12-07T00:00:00.000Z</x:v>
      </x:c>
      <x:c r="D111" s="18" t="e">
        <x:f>HYPERLINK("https://www.youtube.com/watch?v=9Dr79OkGioo","Watch video")</x:f>
        <x:v>HYPERLINK is not implemented. linkLocation=https://www.youtube.com/watch?v=9Dr79OkGioo, friendlyName=Watch video</x:v>
      </x:c>
      <x:c r="E111" s="18" t="e">
        <x:f>HYPERLINK("transcripts/9Dr79OkGioo.html","Complete transcript")</x:f>
        <x:v>HYPERLINK is not implemented. linkLocation=transcripts/9Dr79OkGioo.html, friendlyName=Complete transcript</x:v>
      </x:c>
      <x:c r="F111" s="13" t="str">
        <x:v>UNKNOWN_REQUIRES_REVIEW</x:v>
      </x:c>
      <x:c r="G111" s="17" t="str">
        <x:v>Structured lesson excerpt</x:v>
      </x:c>
      <x:c r="H111" s="17" t="str">
        <x:v>Opportunity quality and asymmetric outcomes</x:v>
      </x:c>
      <x:c r="I111" s="17" t="str">
        <x:v>Argues that stronger situations warrant more exposure and longer holds while weaker ones warrant smaller exposure and quicker profits.</x:v>
      </x:c>
      <x:c r="J111" s="17" t="str">
        <x:v>Position sizing; exits; expectancy</x:v>
      </x:c>
      <x:c r="K111" s="17" t="str">
        <x:v>Illustrative 60/40 framework, not a demonstrated win rate or measured return.</x:v>
      </x:c>
      <x:c r="L111" s="17" t="str">
        <x:v>No operational test of situation quality, sizing limits or numerical expectancy supplied.</x:v>
      </x:c>
      <x:c r="M111" s="17" t="str">
        <x:v>WHOLE TRANSCRIPT READ — visuals pending</x:v>
      </x:c>
      <x:c r="N111" s="15" t="n">
        <x:v>23</x:v>
      </x:c>
      <x:c r="O111" s="15" t="n">
        <x:v>153</x:v>
      </x:c>
      <x:c r="P111" s="15" t="n">
        <x:v>61</x:v>
      </x:c>
      <x:c r="Q111" s="13" t="str">
        <x:v>NO_LARGE_TAIL_GAP</x:v>
      </x:c>
      <x:c r="R111" s="13" t="str"/>
      <x:c r="S111" s="16" t="n">
        <x:v>2</x:v>
      </x:c>
      <x:c r="T111" s="13" t="str">
        <x:v>f0b810cb6ff838eb911aa0722671582298df18f5cf8c61383961dc26bb6fe968</x:v>
      </x:c>
    </x:row>
    <x:row r="112" ht="15" hidden="0" customHeight="1">
      <x:c r="A112" s="13" t="str">
        <x:v>9EKFLoIdAps</x:v>
      </x:c>
      <x:c r="B112" s="13" t="str">
        <x:v>FinViz Screening for Winning Trades in 10 Minutes!</x:v>
      </x:c>
      <x:c r="C112" s="14" t="d">
        <x:v>2024-07-31T00:00:00.000Z</x:v>
      </x:c>
      <x:c r="D112" s="18" t="e">
        <x:f>HYPERLINK("https://www.youtube.com/watch?v=9EKFLoIdAps","Watch video")</x:f>
        <x:v>HYPERLINK is not implemented. linkLocation=https://www.youtube.com/watch?v=9EKFLoIdAps, friendlyName=Watch video</x:v>
      </x:c>
      <x:c r="E112" s="18" t="e">
        <x:f>HYPERLINK("transcripts/9EKFLoIdAps.html","Complete transcript")</x:f>
        <x:v>HYPERLINK is not implemented. linkLocation=transcripts/9EKFLoIdAps.html, friendlyName=Complete transcript</x:v>
      </x:c>
      <x:c r="F112" s="13" t="str">
        <x:v>UNKNOWN_REQUIRES_REVIEW</x:v>
      </x:c>
      <x:c r="G112" s="17" t="str">
        <x:v>UNREVIEWED</x:v>
      </x:c>
      <x:c r="H112" s="17" t="str"/>
      <x:c r="I112" s="17" t="str"/>
      <x:c r="J112" s="17" t="str"/>
      <x:c r="K112" s="17" t="str"/>
      <x:c r="L112" s="17" t="str"/>
      <x:c r="M112" s="17" t="str">
        <x:v>PENDING WHOLE-VIDEO REVIEW</x:v>
      </x:c>
      <x:c r="N112" s="15" t="n">
        <x:v>464</x:v>
      </x:c>
      <x:c r="O112" s="15" t="n">
        <x:v>3513</x:v>
      </x:c>
      <x:c r="P112" s="15" t="n">
        <x:v>1057</x:v>
      </x:c>
      <x:c r="Q112" s="13" t="str">
        <x:v>NO_LARGE_TAIL_GAP</x:v>
      </x:c>
      <x:c r="R112" s="13" t="str"/>
      <x:c r="S112" s="16" t="n">
        <x:v>0</x:v>
      </x:c>
      <x:c r="T112" s="13" t="str">
        <x:v>9ac7f57dc14f7aad5e11d2258516ea0b0e911d2d556e0a832cd068453d04df43</x:v>
      </x:c>
    </x:row>
    <x:row r="113" ht="15" hidden="0" customHeight="1">
      <x:c r="A113" s="13" t="str">
        <x:v>9Hh1dKstU1w</x:v>
      </x:c>
      <x:c r="B113" s="13" t="str">
        <x:v>Best Stock Picks 4 13 20 Financial Stocks</x:v>
      </x:c>
      <x:c r="C113" s="14" t="d">
        <x:v>2020-04-12T00:00:00.000Z</x:v>
      </x:c>
      <x:c r="D113" s="18" t="e">
        <x:f>HYPERLINK("https://www.youtube.com/watch?v=9Hh1dKstU1w","Watch video")</x:f>
        <x:v>HYPERLINK is not implemented. linkLocation=https://www.youtube.com/watch?v=9Hh1dKstU1w, friendlyName=Watch video</x:v>
      </x:c>
      <x:c r="E113" s="18" t="e">
        <x:f>HYPERLINK("transcripts/9Hh1dKstU1w.html","Complete transcript")</x:f>
        <x:v>HYPERLINK is not implemented. linkLocation=transcripts/9Hh1dKstU1w.html, friendlyName=Complete transcript</x:v>
      </x:c>
      <x:c r="F113" s="13" t="str">
        <x:v>PETE_EXPLICIT</x:v>
      </x:c>
      <x:c r="G113" s="17" t="str">
        <x:v>UNREVIEWED</x:v>
      </x:c>
      <x:c r="H113" s="17" t="str"/>
      <x:c r="I113" s="17" t="str"/>
      <x:c r="J113" s="17" t="str"/>
      <x:c r="K113" s="17" t="str"/>
      <x:c r="L113" s="17" t="str"/>
      <x:c r="M113" s="17" t="str">
        <x:v>PENDING WHOLE-VIDEO REVIEW</x:v>
      </x:c>
      <x:c r="N113" s="15" t="n">
        <x:v>842</x:v>
      </x:c>
      <x:c r="O113" s="15" t="n">
        <x:v>6105</x:v>
      </x:c>
      <x:c r="P113" s="15" t="n">
        <x:v>1752</x:v>
      </x:c>
      <x:c r="Q113" s="13" t="str">
        <x:v>NO_LARGE_TAIL_GAP</x:v>
      </x:c>
      <x:c r="R113" s="13" t="str"/>
      <x:c r="S113" s="16" t="n">
        <x:v>0</x:v>
      </x:c>
      <x:c r="T113" s="13" t="str">
        <x:v>ac2386059316301224e16bbcebfff69048ebf1622927042b45d638f4f206d499</x:v>
      </x:c>
    </x:row>
    <x:row r="114" ht="15" hidden="0" customHeight="1">
      <x:c r="A114" s="13" t="str">
        <x:v>9YST2jgBMCE</x:v>
      </x:c>
      <x:c r="B114" s="13" t="str">
        <x:v>TSLA to join S&amp;P 500 | Best Stock Picks Today 11-17-20</x:v>
      </x:c>
      <x:c r="C114" s="14" t="d">
        <x:v>2020-11-17T00:00:00.000Z</x:v>
      </x:c>
      <x:c r="D114" s="18" t="e">
        <x:f>HYPERLINK("https://www.youtube.com/watch?v=9YST2jgBMCE","Watch video")</x:f>
        <x:v>HYPERLINK is not implemented. linkLocation=https://www.youtube.com/watch?v=9YST2jgBMCE, friendlyName=Watch video</x:v>
      </x:c>
      <x:c r="E114" s="18" t="e">
        <x:f>HYPERLINK("transcripts/9YST2jgBMCE.html","Complete transcript")</x:f>
        <x:v>HYPERLINK is not implemented. linkLocation=transcripts/9YST2jgBMCE.html, friendlyName=Complete transcript</x:v>
      </x:c>
      <x:c r="F114" s="13" t="str">
        <x:v>PETE_EXPLICIT</x:v>
      </x:c>
      <x:c r="G114" s="17" t="str">
        <x:v>UNREVIEWED</x:v>
      </x:c>
      <x:c r="H114" s="17" t="str"/>
      <x:c r="I114" s="17" t="str"/>
      <x:c r="J114" s="17" t="str"/>
      <x:c r="K114" s="17" t="str"/>
      <x:c r="L114" s="17" t="str"/>
      <x:c r="M114" s="17" t="str">
        <x:v>PENDING WHOLE-VIDEO REVIEW</x:v>
      </x:c>
      <x:c r="N114" s="15" t="n">
        <x:v>600</x:v>
      </x:c>
      <x:c r="O114" s="15" t="n">
        <x:v>3683</x:v>
      </x:c>
      <x:c r="P114" s="15" t="n">
        <x:v>1058</x:v>
      </x:c>
      <x:c r="Q114" s="13" t="str">
        <x:v>NO_LARGE_TAIL_GAP</x:v>
      </x:c>
      <x:c r="R114" s="13" t="str"/>
      <x:c r="S114" s="16" t="n">
        <x:v>0</x:v>
      </x:c>
      <x:c r="T114" s="13" t="str">
        <x:v>a018b016570714484000e934bb875203f4ffe66af94e3602fa2406739d3bfd6d</x:v>
      </x:c>
    </x:row>
    <x:row r="115" ht="15" hidden="0" customHeight="1">
      <x:c r="A115" s="13" t="str">
        <x:v>9goNGxOHn7g</x:v>
      </x:c>
      <x:c r="B115" s="13" t="str">
        <x:v>Stocks for Breakfast 2 26 20 | Trading Coronavirus Bottom</x:v>
      </x:c>
      <x:c r="C115" s="14" t="d">
        <x:v>2020-02-26T00:00:00.000Z</x:v>
      </x:c>
      <x:c r="D115" s="18" t="e">
        <x:f>HYPERLINK("https://www.youtube.com/watch?v=9goNGxOHn7g","Watch video")</x:f>
        <x:v>HYPERLINK is not implemented. linkLocation=https://www.youtube.com/watch?v=9goNGxOHn7g, friendlyName=Watch video</x:v>
      </x:c>
      <x:c r="E115" s="18" t="e">
        <x:f>HYPERLINK("transcripts/9goNGxOHn7g.html","Complete transcript")</x:f>
        <x:v>HYPERLINK is not implemented. linkLocation=transcripts/9goNGxOHn7g.html, friendlyName=Complete transcript</x:v>
      </x:c>
      <x:c r="F115" s="13" t="str">
        <x:v>UNKNOWN_REQUIRES_REVIEW</x:v>
      </x:c>
      <x:c r="G115" s="17" t="str">
        <x:v>UNREVIEWED</x:v>
      </x:c>
      <x:c r="H115" s="17" t="str"/>
      <x:c r="I115" s="17" t="str"/>
      <x:c r="J115" s="17" t="str"/>
      <x:c r="K115" s="17" t="str"/>
      <x:c r="L115" s="17" t="str"/>
      <x:c r="M115" s="17" t="str">
        <x:v>PENDING WHOLE-VIDEO REVIEW</x:v>
      </x:c>
      <x:c r="N115" s="15" t="n">
        <x:v>535</x:v>
      </x:c>
      <x:c r="O115" s="15" t="n">
        <x:v>3882</x:v>
      </x:c>
      <x:c r="P115" s="15" t="n">
        <x:v>1178</x:v>
      </x:c>
      <x:c r="Q115" s="13" t="str">
        <x:v>NO_LARGE_TAIL_GAP</x:v>
      </x:c>
      <x:c r="R115" s="13" t="str"/>
      <x:c r="S115" s="16" t="n">
        <x:v>0</x:v>
      </x:c>
      <x:c r="T115" s="13" t="str">
        <x:v>976b08a0c21d0fd50e990206de01b3c31cecfae40ced1848e7a240ec1e26c898</x:v>
      </x:c>
    </x:row>
    <x:row r="116" ht="15" hidden="0" customHeight="1">
      <x:c r="A116" s="13" t="str">
        <x:v>9srjF6_vsu4</x:v>
      </x:c>
      <x:c r="B116" s="13" t="str">
        <x:v>Options Trading: The Week Ahead of Key Data</x:v>
      </x:c>
      <x:c r="C116" s="14" t="d">
        <x:v>2024-07-09T00:00:00.000Z</x:v>
      </x:c>
      <x:c r="D116" s="18" t="e">
        <x:f>HYPERLINK("https://www.youtube.com/watch?v=9srjF6_vsu4","Watch video")</x:f>
        <x:v>HYPERLINK is not implemented. linkLocation=https://www.youtube.com/watch?v=9srjF6_vsu4, friendlyName=Watch video</x:v>
      </x:c>
      <x:c r="E116" s="18" t="e">
        <x:f>HYPERLINK("transcripts/9srjF6_vsu4.html","Complete transcript")</x:f>
        <x:v>HYPERLINK is not implemented. linkLocation=transcripts/9srjF6_vsu4.html, friendlyName=Complete transcript</x:v>
      </x:c>
      <x:c r="F116" s="13" t="str">
        <x:v>NON_PETE_EXPLICIT_JOHN</x:v>
      </x:c>
      <x:c r="G116" s="17" t="str">
        <x:v>UNREVIEWED</x:v>
      </x:c>
      <x:c r="H116" s="17" t="str"/>
      <x:c r="I116" s="17" t="str"/>
      <x:c r="J116" s="17" t="str"/>
      <x:c r="K116" s="17" t="str"/>
      <x:c r="L116" s="17" t="str"/>
      <x:c r="M116" s="17" t="str">
        <x:v>PENDING WHOLE-VIDEO REVIEW</x:v>
      </x:c>
      <x:c r="N116" s="15" t="n">
        <x:v>288</x:v>
      </x:c>
      <x:c r="O116" s="15" t="n">
        <x:v>2159</x:v>
      </x:c>
      <x:c r="P116" s="15" t="n">
        <x:v>639</x:v>
      </x:c>
      <x:c r="Q116" s="13" t="str">
        <x:v>NO_LARGE_TAIL_GAP</x:v>
      </x:c>
      <x:c r="R116" s="13" t="str"/>
      <x:c r="S116" s="16" t="n">
        <x:v>0</x:v>
      </x:c>
      <x:c r="T116" s="13" t="str">
        <x:v>eeac067e03fd5caab833761ebf50b91ff43f14bc2adb1016ed83efa21ea846e6</x:v>
      </x:c>
    </x:row>
    <x:row r="117" ht="15" hidden="0" customHeight="1">
      <x:c r="A117" s="13" t="str">
        <x:v>A7Cd-WxZznI</x:v>
      </x:c>
      <x:c r="B117" s="13" t="str">
        <x:v>Tech Stock Earnings 7-31-20 | Best Stock Picks Today</x:v>
      </x:c>
      <x:c r="C117" s="14" t="d">
        <x:v>2020-07-31T00:00:00.000Z</x:v>
      </x:c>
      <x:c r="D117" s="18" t="e">
        <x:f>HYPERLINK("https://www.youtube.com/watch?v=A7Cd-WxZznI","Watch video")</x:f>
        <x:v>HYPERLINK is not implemented. linkLocation=https://www.youtube.com/watch?v=A7Cd-WxZznI, friendlyName=Watch video</x:v>
      </x:c>
      <x:c r="E117" s="18" t="e">
        <x:f>HYPERLINK("transcripts/A7Cd-WxZznI.html","Complete transcript")</x:f>
        <x:v>HYPERLINK is not implemented. linkLocation=transcripts/A7Cd-WxZznI.html, friendlyName=Complete transcript</x:v>
      </x:c>
      <x:c r="F117" s="13" t="str">
        <x:v>PETE_EXPLICIT</x:v>
      </x:c>
      <x:c r="G117" s="17" t="str">
        <x:v>UNREVIEWED</x:v>
      </x:c>
      <x:c r="H117" s="17" t="str"/>
      <x:c r="I117" s="17" t="str"/>
      <x:c r="J117" s="17" t="str"/>
      <x:c r="K117" s="17" t="str"/>
      <x:c r="L117" s="17" t="str"/>
      <x:c r="M117" s="17" t="str">
        <x:v>PENDING WHOLE-VIDEO REVIEW</x:v>
      </x:c>
      <x:c r="N117" s="15" t="n">
        <x:v>444</x:v>
      </x:c>
      <x:c r="O117" s="15" t="n">
        <x:v>2731</x:v>
      </x:c>
      <x:c r="P117" s="15" t="n">
        <x:v>801</x:v>
      </x:c>
      <x:c r="Q117" s="13" t="str">
        <x:v>NO_LARGE_TAIL_GAP</x:v>
      </x:c>
      <x:c r="R117" s="13" t="str"/>
      <x:c r="S117" s="16" t="n">
        <x:v>0</x:v>
      </x:c>
      <x:c r="T117" s="13" t="str">
        <x:v>2e83c7bb9eb689731e5bf45eb81c59f40c1e43342ac376b68ed432ed8fe8fbee</x:v>
      </x:c>
    </x:row>
    <x:row r="118" ht="15" hidden="0" customHeight="1">
      <x:c r="A118" s="13" t="str">
        <x:v>AGK1vVvOaWc</x:v>
      </x:c>
      <x:c r="B118" s="13" t="str">
        <x:v>Trading AAPL Stock Split 8-31-20 | Best Stock Picks Today</x:v>
      </x:c>
      <x:c r="C118" s="14" t="d">
        <x:v>2020-08-31T00:00:00.000Z</x:v>
      </x:c>
      <x:c r="D118" s="18" t="e">
        <x:f>HYPERLINK("https://www.youtube.com/watch?v=AGK1vVvOaWc","Watch video")</x:f>
        <x:v>HYPERLINK is not implemented. linkLocation=https://www.youtube.com/watch?v=AGK1vVvOaWc, friendlyName=Watch video</x:v>
      </x:c>
      <x:c r="E118" s="18" t="e">
        <x:f>HYPERLINK("transcripts/AGK1vVvOaWc.html","Complete transcript")</x:f>
        <x:v>HYPERLINK is not implemented. linkLocation=transcripts/AGK1vVvOaWc.html, friendlyName=Complete transcript</x:v>
      </x:c>
      <x:c r="F118" s="13" t="str">
        <x:v>PETE_EXPLICIT</x:v>
      </x:c>
      <x:c r="G118" s="17" t="str">
        <x:v>UNREVIEWED</x:v>
      </x:c>
      <x:c r="H118" s="17" t="str"/>
      <x:c r="I118" s="17" t="str"/>
      <x:c r="J118" s="17" t="str"/>
      <x:c r="K118" s="17" t="str"/>
      <x:c r="L118" s="17" t="str"/>
      <x:c r="M118" s="17" t="str">
        <x:v>PENDING WHOLE-VIDEO REVIEW</x:v>
      </x:c>
      <x:c r="N118" s="15" t="n">
        <x:v>536</x:v>
      </x:c>
      <x:c r="O118" s="15" t="n">
        <x:v>3344</x:v>
      </x:c>
      <x:c r="P118" s="15" t="n">
        <x:v>923</x:v>
      </x:c>
      <x:c r="Q118" s="13" t="str">
        <x:v>NO_LARGE_TAIL_GAP</x:v>
      </x:c>
      <x:c r="R118" s="13" t="str"/>
      <x:c r="S118" s="16" t="n">
        <x:v>0</x:v>
      </x:c>
      <x:c r="T118" s="13" t="str">
        <x:v>63edd5faab1d1e4b7bc17518e759627d81d70d252699d6a756f0b4fbd58e7534</x:v>
      </x:c>
    </x:row>
    <x:row r="119" ht="15" hidden="0" customHeight="1">
      <x:c r="A119" s="13" t="str">
        <x:v>APBngSZsSXs</x:v>
      </x:c>
      <x:c r="B119" s="13" t="str">
        <x:v>Best Stock Picks Today | NVAX Up 30% 1-29-21</x:v>
      </x:c>
      <x:c r="C119" s="14" t="d">
        <x:v>2021-01-29T00:00:00.000Z</x:v>
      </x:c>
      <x:c r="D119" s="18" t="e">
        <x:f>HYPERLINK("https://www.youtube.com/watch?v=APBngSZsSXs","Watch video")</x:f>
        <x:v>HYPERLINK is not implemented. linkLocation=https://www.youtube.com/watch?v=APBngSZsSXs, friendlyName=Watch video</x:v>
      </x:c>
      <x:c r="E119" s="18" t="e">
        <x:f>HYPERLINK("transcripts/APBngSZsSXs.html","Complete transcript")</x:f>
        <x:v>HYPERLINK is not implemented. linkLocation=transcripts/APBngSZsSXs.html, friendlyName=Complete transcript</x:v>
      </x:c>
      <x:c r="F119" s="13" t="str">
        <x:v>PETE_EXPLICIT</x:v>
      </x:c>
      <x:c r="G119" s="17" t="str">
        <x:v>UNREVIEWED</x:v>
      </x:c>
      <x:c r="H119" s="17" t="str"/>
      <x:c r="I119" s="17" t="str"/>
      <x:c r="J119" s="17" t="str"/>
      <x:c r="K119" s="17" t="str"/>
      <x:c r="L119" s="17" t="str"/>
      <x:c r="M119" s="17" t="str">
        <x:v>PENDING WHOLE-VIDEO REVIEW</x:v>
      </x:c>
      <x:c r="N119" s="15" t="n">
        <x:v>386</x:v>
      </x:c>
      <x:c r="O119" s="15" t="n">
        <x:v>2363</x:v>
      </x:c>
      <x:c r="P119" s="15" t="n">
        <x:v>685</x:v>
      </x:c>
      <x:c r="Q119" s="13" t="str">
        <x:v>NO_LARGE_TAIL_GAP</x:v>
      </x:c>
      <x:c r="R119" s="13" t="str"/>
      <x:c r="S119" s="16" t="n">
        <x:v>0</x:v>
      </x:c>
      <x:c r="T119" s="13" t="str">
        <x:v>f52fec4461228d18458d9eb71dad7bd3b8b9bccb91487db47e81b93292ee50f5</x:v>
      </x:c>
    </x:row>
    <x:row r="120" ht="15" hidden="0" customHeight="1">
      <x:c r="A120" s="13" t="str">
        <x:v>AYWXh7Hwld4</x:v>
      </x:c>
      <x:c r="B120" s="13" t="str">
        <x:v>Stock Trading Strategies | Order Flow</x:v>
      </x:c>
      <x:c r="C120" s="14" t="d">
        <x:v>2020-10-13T00:00:00.000Z</x:v>
      </x:c>
      <x:c r="D120" s="18" t="e">
        <x:f>HYPERLINK("https://www.youtube.com/watch?v=AYWXh7Hwld4","Watch video")</x:f>
        <x:v>HYPERLINK is not implemented. linkLocation=https://www.youtube.com/watch?v=AYWXh7Hwld4, friendlyName=Watch video</x:v>
      </x:c>
      <x:c r="E120" s="18" t="e">
        <x:f>HYPERLINK("transcripts/AYWXh7Hwld4.html","Complete transcript")</x:f>
        <x:v>HYPERLINK is not implemented. linkLocation=transcripts/AYWXh7Hwld4.html, friendlyName=Complete transcript</x:v>
      </x:c>
      <x:c r="F120" s="13" t="str">
        <x:v>PETE_EXPLICIT</x:v>
      </x:c>
      <x:c r="G120" s="17" t="str">
        <x:v>UNREVIEWED</x:v>
      </x:c>
      <x:c r="H120" s="17" t="str"/>
      <x:c r="I120" s="17" t="str"/>
      <x:c r="J120" s="17" t="str"/>
      <x:c r="K120" s="17" t="str"/>
      <x:c r="L120" s="17" t="str"/>
      <x:c r="M120" s="17" t="str">
        <x:v>PENDING WHOLE-VIDEO REVIEW</x:v>
      </x:c>
      <x:c r="N120" s="15" t="n">
        <x:v>453</x:v>
      </x:c>
      <x:c r="O120" s="15" t="n">
        <x:v>2883</x:v>
      </x:c>
      <x:c r="P120" s="15" t="n">
        <x:v>796</x:v>
      </x:c>
      <x:c r="Q120" s="13" t="str">
        <x:v>NO_LARGE_TAIL_GAP</x:v>
      </x:c>
      <x:c r="R120" s="13" t="str"/>
      <x:c r="S120" s="16" t="n">
        <x:v>0</x:v>
      </x:c>
      <x:c r="T120" s="13" t="str">
        <x:v>a884ce3e9256902c0a5bb44c9e495fd0c8628f066e8a25ca0cd4b474d7d9dc49</x:v>
      </x:c>
    </x:row>
    <x:row r="121" ht="15" hidden="0" customHeight="1">
      <x:c r="A121" s="13" t="str">
        <x:v>AZ4f9EM18vs</x:v>
      </x:c>
      <x:c r="B121" s="13" t="str">
        <x:v>BYND Stock 7-1-20 | Best Stock Picks Today</x:v>
      </x:c>
      <x:c r="C121" s="14" t="d">
        <x:v>2020-07-01T00:00:00.000Z</x:v>
      </x:c>
      <x:c r="D121" s="18" t="e">
        <x:f>HYPERLINK("https://www.youtube.com/watch?v=AZ4f9EM18vs","Watch video")</x:f>
        <x:v>HYPERLINK is not implemented. linkLocation=https://www.youtube.com/watch?v=AZ4f9EM18vs, friendlyName=Watch video</x:v>
      </x:c>
      <x:c r="E121" s="18" t="e">
        <x:f>HYPERLINK("transcripts/AZ4f9EM18vs.html","Complete transcript")</x:f>
        <x:v>HYPERLINK is not implemented. linkLocation=transcripts/AZ4f9EM18vs.html, friendlyName=Complete transcript</x:v>
      </x:c>
      <x:c r="F121" s="13" t="str">
        <x:v>UNKNOWN_REQUIRES_REVIEW</x:v>
      </x:c>
      <x:c r="G121" s="17" t="str">
        <x:v>UNREVIEWED</x:v>
      </x:c>
      <x:c r="H121" s="17" t="str"/>
      <x:c r="I121" s="17" t="str"/>
      <x:c r="J121" s="17" t="str"/>
      <x:c r="K121" s="17" t="str"/>
      <x:c r="L121" s="17" t="str"/>
      <x:c r="M121" s="17" t="str">
        <x:v>PENDING WHOLE-VIDEO REVIEW</x:v>
      </x:c>
      <x:c r="N121" s="15" t="n">
        <x:v>299</x:v>
      </x:c>
      <x:c r="O121" s="15" t="n">
        <x:v>2140</x:v>
      </x:c>
      <x:c r="P121" s="15" t="n">
        <x:v>610</x:v>
      </x:c>
      <x:c r="Q121" s="13" t="str">
        <x:v>NO_LARGE_TAIL_GAP</x:v>
      </x:c>
      <x:c r="R121" s="13" t="str"/>
      <x:c r="S121" s="16" t="n">
        <x:v>0</x:v>
      </x:c>
      <x:c r="T121" s="13" t="str">
        <x:v>1467d520514b32d88db7b1ef64388b4956d4811526463e0e26e4d15e0b273a92</x:v>
      </x:c>
    </x:row>
    <x:row r="122" ht="15" hidden="0" customHeight="1">
      <x:c r="A122" s="13" t="str">
        <x:v>AZK7bviZ_EQ</x:v>
      </x:c>
      <x:c r="B122" s="13" t="str">
        <x:v>Day Trading TWTR | Best Stock Picks Today 10-30-20</x:v>
      </x:c>
      <x:c r="C122" s="14" t="d">
        <x:v>2020-10-30T00:00:00.000Z</x:v>
      </x:c>
      <x:c r="D122" s="18" t="e">
        <x:f>HYPERLINK("https://www.youtube.com/watch?v=AZK7bviZ_EQ","Watch video")</x:f>
        <x:v>HYPERLINK is not implemented. linkLocation=https://www.youtube.com/watch?v=AZK7bviZ_EQ, friendlyName=Watch video</x:v>
      </x:c>
      <x:c r="E122" s="18" t="e">
        <x:f>HYPERLINK("transcripts/AZK7bviZ_EQ.html","Complete transcript")</x:f>
        <x:v>HYPERLINK is not implemented. linkLocation=transcripts/AZK7bviZ_EQ.html, friendlyName=Complete transcript</x:v>
      </x:c>
      <x:c r="F122" s="13" t="str">
        <x:v>PETE_EXPLICIT</x:v>
      </x:c>
      <x:c r="G122" s="17" t="str">
        <x:v>UNREVIEWED</x:v>
      </x:c>
      <x:c r="H122" s="17" t="str"/>
      <x:c r="I122" s="17" t="str"/>
      <x:c r="J122" s="17" t="str"/>
      <x:c r="K122" s="17" t="str"/>
      <x:c r="L122" s="17" t="str"/>
      <x:c r="M122" s="17" t="str">
        <x:v>PENDING WHOLE-VIDEO REVIEW</x:v>
      </x:c>
      <x:c r="N122" s="15" t="n">
        <x:v>339</x:v>
      </x:c>
      <x:c r="O122" s="15" t="n">
        <x:v>2101</x:v>
      </x:c>
      <x:c r="P122" s="15" t="n">
        <x:v>598</x:v>
      </x:c>
      <x:c r="Q122" s="13" t="str">
        <x:v>NO_LARGE_TAIL_GAP</x:v>
      </x:c>
      <x:c r="R122" s="13" t="str"/>
      <x:c r="S122" s="16" t="n">
        <x:v>0</x:v>
      </x:c>
      <x:c r="T122" s="13" t="str">
        <x:v>33ac5858febb6c1c6298d5c31deb4afeea79cddc59ffc8ad4daccb5c706ad8f5</x:v>
      </x:c>
    </x:row>
    <x:row r="123" ht="15" hidden="0" customHeight="1">
      <x:c r="A123" s="13" t="str">
        <x:v>A_gjD_GYHWI</x:v>
      </x:c>
      <x:c r="B123" s="13" t="str">
        <x:v>Beginner's Guide to Swing Trading: Dow Theory and Moving Average Strategies</x:v>
      </x:c>
      <x:c r="C123" s="14" t="d">
        <x:v>2021-02-02T00:00:00.000Z</x:v>
      </x:c>
      <x:c r="D123" s="18" t="e">
        <x:f>HYPERLINK("https://www.youtube.com/watch?v=A_gjD_GYHWI","Watch video")</x:f>
        <x:v>HYPERLINK is not implemented. linkLocation=https://www.youtube.com/watch?v=A_gjD_GYHWI, friendlyName=Watch video</x:v>
      </x:c>
      <x:c r="E123" s="18" t="e">
        <x:f>HYPERLINK("transcripts/A_gjD_GYHWI.html","Complete transcript")</x:f>
        <x:v>HYPERLINK is not implemented. linkLocation=transcripts/A_gjD_GYHWI.html, friendlyName=Complete transcript</x:v>
      </x:c>
      <x:c r="F123" s="13" t="str">
        <x:v>PETE_EXPLICIT</x:v>
      </x:c>
      <x:c r="G123" s="17" t="str">
        <x:v>UNREVIEWED</x:v>
      </x:c>
      <x:c r="H123" s="17" t="str"/>
      <x:c r="I123" s="17" t="str"/>
      <x:c r="J123" s="17" t="str"/>
      <x:c r="K123" s="17" t="str"/>
      <x:c r="L123" s="17" t="str"/>
      <x:c r="M123" s="17" t="str">
        <x:v>PENDING WHOLE-VIDEO REVIEW</x:v>
      </x:c>
      <x:c r="N123" s="15" t="n">
        <x:v>563</x:v>
      </x:c>
      <x:c r="O123" s="15" t="n">
        <x:v>3480</x:v>
      </x:c>
      <x:c r="P123" s="15" t="n">
        <x:v>1021</x:v>
      </x:c>
      <x:c r="Q123" s="13" t="str">
        <x:v>NO_LARGE_TAIL_GAP</x:v>
      </x:c>
      <x:c r="R123" s="13" t="str"/>
      <x:c r="S123" s="16" t="n">
        <x:v>0</x:v>
      </x:c>
      <x:c r="T123" s="13" t="str">
        <x:v>66f45759b8529c22ec0f80f24895091b94a3885fdb1295b6f87bda942289535e</x:v>
      </x:c>
    </x:row>
    <x:row r="124" ht="15" hidden="0" customHeight="1">
      <x:c r="A124" s="13" t="str">
        <x:v>Ae9U7FbEYD8</x:v>
      </x:c>
      <x:c r="B124" s="13" t="str">
        <x:v>Top 3 Reasons Stock Traders Struggle and How to Fix it</x:v>
      </x:c>
      <x:c r="C124" s="14" t="d">
        <x:v>2021-02-01T00:00:00.000Z</x:v>
      </x:c>
      <x:c r="D124" s="18" t="e">
        <x:f>HYPERLINK("https://www.youtube.com/watch?v=Ae9U7FbEYD8","Watch video")</x:f>
        <x:v>HYPERLINK is not implemented. linkLocation=https://www.youtube.com/watch?v=Ae9U7FbEYD8, friendlyName=Watch video</x:v>
      </x:c>
      <x:c r="E124" s="18" t="e">
        <x:f>HYPERLINK("transcripts/Ae9U7FbEYD8.html","Complete transcript")</x:f>
        <x:v>HYPERLINK is not implemented. linkLocation=transcripts/Ae9U7FbEYD8.html, friendlyName=Complete transcript</x:v>
      </x:c>
      <x:c r="F124" s="13" t="str">
        <x:v>PETE_EXPLICIT</x:v>
      </x:c>
      <x:c r="G124" s="17" t="str">
        <x:v>UNREVIEWED</x:v>
      </x:c>
      <x:c r="H124" s="17" t="str"/>
      <x:c r="I124" s="17" t="str"/>
      <x:c r="J124" s="17" t="str"/>
      <x:c r="K124" s="17" t="str"/>
      <x:c r="L124" s="17" t="str"/>
      <x:c r="M124" s="17" t="str">
        <x:v>PENDING WHOLE-VIDEO REVIEW</x:v>
      </x:c>
      <x:c r="N124" s="15" t="n">
        <x:v>489</x:v>
      </x:c>
      <x:c r="O124" s="15" t="n">
        <x:v>3021</x:v>
      </x:c>
      <x:c r="P124" s="15" t="n">
        <x:v>845</x:v>
      </x:c>
      <x:c r="Q124" s="13" t="str">
        <x:v>NO_LARGE_TAIL_GAP</x:v>
      </x:c>
      <x:c r="R124" s="13" t="str"/>
      <x:c r="S124" s="16" t="n">
        <x:v>0</x:v>
      </x:c>
      <x:c r="T124" s="13" t="str">
        <x:v>a917eca52e97872264c09ad29453bef530af312531c13582b5e7ac079a54ccb8</x:v>
      </x:c>
    </x:row>
    <x:row r="125" ht="15" hidden="0" customHeight="1">
      <x:c r="A125" s="13" t="str">
        <x:v>AhUW_3Q1zIo</x:v>
      </x:c>
      <x:c r="B125" s="13" t="str">
        <x:v>Prepare for Profitable Trading: Develop a Structured Game Plan</x:v>
      </x:c>
      <x:c r="C125" s="14" t="d">
        <x:v>2020-08-14T00:00:00.000Z</x:v>
      </x:c>
      <x:c r="D125" s="18" t="e">
        <x:f>HYPERLINK("https://www.youtube.com/watch?v=AhUW_3Q1zIo","Watch video")</x:f>
        <x:v>HYPERLINK is not implemented. linkLocation=https://www.youtube.com/watch?v=AhUW_3Q1zIo, friendlyName=Watch video</x:v>
      </x:c>
      <x:c r="E125" s="18" t="e">
        <x:f>HYPERLINK("transcripts/AhUW_3Q1zIo.html","Complete transcript")</x:f>
        <x:v>HYPERLINK is not implemented. linkLocation=transcripts/AhUW_3Q1zIo.html, friendlyName=Complete transcript</x:v>
      </x:c>
      <x:c r="F125" s="13" t="str">
        <x:v>PETE_EXPLICIT</x:v>
      </x:c>
      <x:c r="G125" s="17" t="str">
        <x:v>UNREVIEWED</x:v>
      </x:c>
      <x:c r="H125" s="17" t="str"/>
      <x:c r="I125" s="17" t="str"/>
      <x:c r="J125" s="17" t="str"/>
      <x:c r="K125" s="17" t="str"/>
      <x:c r="L125" s="17" t="str"/>
      <x:c r="M125" s="17" t="str">
        <x:v>PENDING WHOLE-VIDEO REVIEW</x:v>
      </x:c>
      <x:c r="N125" s="15" t="n">
        <x:v>713</x:v>
      </x:c>
      <x:c r="O125" s="15" t="n">
        <x:v>4434</x:v>
      </x:c>
      <x:c r="P125" s="15" t="n">
        <x:v>1243</x:v>
      </x:c>
      <x:c r="Q125" s="13" t="str">
        <x:v>NO_LARGE_TAIL_GAP</x:v>
      </x:c>
      <x:c r="R125" s="13" t="str"/>
      <x:c r="S125" s="16" t="n">
        <x:v>0</x:v>
      </x:c>
      <x:c r="T125" s="13" t="str">
        <x:v>a94960c9b3757b22bed0abe3a17573e313159fd4a39d9cefc39793710d00b3c1</x:v>
      </x:c>
    </x:row>
    <x:row r="126" ht="15" hidden="0" customHeight="1">
      <x:c r="A126" s="13" t="str">
        <x:v>Aob7mQrWF9s</x:v>
      </x:c>
      <x:c r="B126" s="13" t="str">
        <x:v>How To Trade Stocks With A Small Account</x:v>
      </x:c>
      <x:c r="C126" s="14" t="d">
        <x:v>2023-07-19T00:00:00.000Z</x:v>
      </x:c>
      <x:c r="D126" s="18" t="e">
        <x:f>HYPERLINK("https://www.youtube.com/watch?v=Aob7mQrWF9s","Watch video")</x:f>
        <x:v>HYPERLINK is not implemented. linkLocation=https://www.youtube.com/watch?v=Aob7mQrWF9s, friendlyName=Watch video</x:v>
      </x:c>
      <x:c r="E126" s="18" t="e">
        <x:f>HYPERLINK("transcripts/Aob7mQrWF9s.html","Complete transcript")</x:f>
        <x:v>HYPERLINK is not implemented. linkLocation=transcripts/Aob7mQrWF9s.html, friendlyName=Complete transcript</x:v>
      </x:c>
      <x:c r="F126" s="13" t="str">
        <x:v>PETE_EXPLICIT</x:v>
      </x:c>
      <x:c r="G126" s="17" t="str">
        <x:v>UNREVIEWED</x:v>
      </x:c>
      <x:c r="H126" s="17" t="str"/>
      <x:c r="I126" s="17" t="str"/>
      <x:c r="J126" s="17" t="str"/>
      <x:c r="K126" s="17" t="str"/>
      <x:c r="L126" s="17" t="str"/>
      <x:c r="M126" s="17" t="str">
        <x:v>PENDING WHOLE-VIDEO REVIEW</x:v>
      </x:c>
      <x:c r="N126" s="15" t="n">
        <x:v>161</x:v>
      </x:c>
      <x:c r="O126" s="15" t="n">
        <x:v>1109</x:v>
      </x:c>
      <x:c r="P126" s="15" t="n">
        <x:v>345</x:v>
      </x:c>
      <x:c r="Q126" s="13" t="str">
        <x:v>NO_LARGE_TAIL_GAP</x:v>
      </x:c>
      <x:c r="R126" s="13" t="str"/>
      <x:c r="S126" s="16" t="n">
        <x:v>0</x:v>
      </x:c>
      <x:c r="T126" s="13" t="str">
        <x:v>ce6f14e2c479a12377cd55958bf17b55216b6dc72d373819698245b180843011</x:v>
      </x:c>
    </x:row>
    <x:row r="127" ht="15" hidden="0" customHeight="1">
      <x:c r="A127" s="13" t="str">
        <x:v>Ap7kPlnezmI</x:v>
      </x:c>
      <x:c r="B127" s="13" t="str">
        <x:v>Trading Recap 9 22 15</x:v>
      </x:c>
      <x:c r="C127" s="14" t="d">
        <x:v>2015-09-22T00:00:00.000Z</x:v>
      </x:c>
      <x:c r="D127" s="18" t="e">
        <x:f>HYPERLINK("https://www.youtube.com/watch?v=Ap7kPlnezmI","Watch video")</x:f>
        <x:v>HYPERLINK is not implemented. linkLocation=https://www.youtube.com/watch?v=Ap7kPlnezmI, friendlyName=Watch video</x:v>
      </x:c>
      <x:c r="E127" s="18" t="e">
        <x:f>HYPERLINK("transcripts/Ap7kPlnezmI.html","Complete transcript")</x:f>
        <x:v>HYPERLINK is not implemented. linkLocation=transcripts/Ap7kPlnezmI.html, friendlyName=Complete transcript</x:v>
      </x:c>
      <x:c r="F127" s="13" t="str">
        <x:v>UNKNOWN_REQUIRES_REVIEW</x:v>
      </x:c>
      <x:c r="G127" s="17" t="str">
        <x:v>UNREVIEWED</x:v>
      </x:c>
      <x:c r="H127" s="17" t="str"/>
      <x:c r="I127" s="17" t="str"/>
      <x:c r="J127" s="17" t="str"/>
      <x:c r="K127" s="17" t="str"/>
      <x:c r="L127" s="17" t="str"/>
      <x:c r="M127" s="17" t="str">
        <x:v>PENDING WHOLE-VIDEO REVIEW</x:v>
      </x:c>
      <x:c r="N127" s="15" t="n">
        <x:v>567</x:v>
      </x:c>
      <x:c r="O127" s="15" t="n">
        <x:v>4335</x:v>
      </x:c>
      <x:c r="P127" s="15" t="n">
        <x:v>1180</x:v>
      </x:c>
      <x:c r="Q127" s="13" t="str">
        <x:v>NO_LARGE_TAIL_GAP</x:v>
      </x:c>
      <x:c r="R127" s="13" t="str"/>
      <x:c r="S127" s="16" t="n">
        <x:v>0</x:v>
      </x:c>
      <x:c r="T127" s="13" t="str">
        <x:v>c29b52c5c76d6d55000c4686449d8a14b566fb9162bf47735b3fa4f2cb559737</x:v>
      </x:c>
    </x:row>
    <x:row r="128" ht="15" hidden="0" customHeight="1">
      <x:c r="A128" s="13" t="str">
        <x:v>ArIrY9rY2Bc</x:v>
      </x:c>
      <x:c r="B128" s="13" t="str">
        <x:v>How to Calculate Risk and Trading Expenses</x:v>
      </x:c>
      <x:c r="C128" s="14" t="d">
        <x:v>2015-04-22T00:00:00.000Z</x:v>
      </x:c>
      <x:c r="D128" s="18" t="e">
        <x:f>HYPERLINK("https://www.youtube.com/watch?v=ArIrY9rY2Bc","Watch video")</x:f>
        <x:v>HYPERLINK is not implemented. linkLocation=https://www.youtube.com/watch?v=ArIrY9rY2Bc, friendlyName=Watch video</x:v>
      </x:c>
      <x:c r="E128" s="18" t="e">
        <x:f>HYPERLINK("transcripts/ArIrY9rY2Bc.html","Complete transcript")</x:f>
        <x:v>HYPERLINK is not implemented. linkLocation=transcripts/ArIrY9rY2Bc.html, friendlyName=Complete transcript</x:v>
      </x:c>
      <x:c r="F128" s="13" t="str">
        <x:v>UNKNOWN_REQUIRES_REVIEW</x:v>
      </x:c>
      <x:c r="G128" s="17" t="str">
        <x:v>UNREVIEWED</x:v>
      </x:c>
      <x:c r="H128" s="17" t="str"/>
      <x:c r="I128" s="17" t="str"/>
      <x:c r="J128" s="17" t="str"/>
      <x:c r="K128" s="17" t="str"/>
      <x:c r="L128" s="17" t="str"/>
      <x:c r="M128" s="17" t="str">
        <x:v>PENDING WHOLE-VIDEO REVIEW</x:v>
      </x:c>
      <x:c r="N128" s="15" t="n">
        <x:v>48</x:v>
      </x:c>
      <x:c r="O128" s="15" t="n">
        <x:v>339</x:v>
      </x:c>
      <x:c r="P128" s="15" t="n">
        <x:v>105</x:v>
      </x:c>
      <x:c r="Q128" s="13" t="str">
        <x:v>NO_LARGE_TAIL_GAP</x:v>
      </x:c>
      <x:c r="R128" s="13" t="str"/>
      <x:c r="S128" s="16" t="n">
        <x:v>0</x:v>
      </x:c>
      <x:c r="T128" s="13" t="str">
        <x:v>0fad3ea777b5b9c371ad6957a9be34bc631854d62d8c33cda310d6224e6cd64c</x:v>
      </x:c>
    </x:row>
    <x:row r="129" ht="15" hidden="0" customHeight="1">
      <x:c r="A129" s="13" t="str">
        <x:v>Atez1-m4Bfo</x:v>
      </x:c>
      <x:c r="B129" s="13" t="str">
        <x:v>Daily Ticker: Better Cash Flow DIS or NFLX? With David Trainer</x:v>
      </x:c>
      <x:c r="C129" s="14" t="d">
        <x:v>2023-05-25T00:00:00.000Z</x:v>
      </x:c>
      <x:c r="D129" s="18" t="e">
        <x:f>HYPERLINK("https://www.youtube.com/watch?v=Atez1-m4Bfo","Watch video")</x:f>
        <x:v>HYPERLINK is not implemented. linkLocation=https://www.youtube.com/watch?v=Atez1-m4Bfo, friendlyName=Watch video</x:v>
      </x:c>
      <x:c r="E129" s="18" t="e">
        <x:f>HYPERLINK("transcripts/Atez1-m4Bfo.html","Complete transcript")</x:f>
        <x:v>HYPERLINK is not implemented. linkLocation=transcripts/Atez1-m4Bfo.html, friendlyName=Complete transcript</x:v>
      </x:c>
      <x:c r="F129" s="13" t="str">
        <x:v>UNKNOWN_REQUIRES_REVIEW</x:v>
      </x:c>
      <x:c r="G129" s="17" t="str">
        <x:v>UNREVIEWED</x:v>
      </x:c>
      <x:c r="H129" s="17" t="str"/>
      <x:c r="I129" s="17" t="str"/>
      <x:c r="J129" s="17" t="str"/>
      <x:c r="K129" s="17" t="str"/>
      <x:c r="L129" s="17" t="str"/>
      <x:c r="M129" s="17" t="str">
        <x:v>PENDING WHOLE-VIDEO REVIEW</x:v>
      </x:c>
      <x:c r="N129" s="15" t="n">
        <x:v>974</x:v>
      </x:c>
      <x:c r="O129" s="15" t="n">
        <x:v>6604</x:v>
      </x:c>
      <x:c r="P129" s="15" t="n">
        <x:v>2034</x:v>
      </x:c>
      <x:c r="Q129" s="13" t="str">
        <x:v>NO_LARGE_TAIL_GAP</x:v>
      </x:c>
      <x:c r="R129" s="13" t="str"/>
      <x:c r="S129" s="16" t="n">
        <x:v>0</x:v>
      </x:c>
      <x:c r="T129" s="13" t="str">
        <x:v>d8fdd8aff75b12d68703e846067fd77ed2381a6ec4240c0b60221d6a20892ab6</x:v>
      </x:c>
    </x:row>
    <x:row r="130" ht="24" hidden="0" customHeight="1">
      <x:c r="A130" s="13" t="str">
        <x:v>AwBeyxqCiK4</x:v>
      </x:c>
      <x:c r="B130" s="13" t="str">
        <x:v>Mastering Sector Rotation: A Trader's Guide to Finding Opportunities |  Week of 25 April 2022</x:v>
      </x:c>
      <x:c r="C130" s="14" t="d">
        <x:v>2022-04-24T00:00:00.000Z</x:v>
      </x:c>
      <x:c r="D130" s="18" t="e">
        <x:f>HYPERLINK("https://www.youtube.com/watch?v=AwBeyxqCiK4","Watch video")</x:f>
        <x:v>HYPERLINK is not implemented. linkLocation=https://www.youtube.com/watch?v=AwBeyxqCiK4, friendlyName=Watch video</x:v>
      </x:c>
      <x:c r="E130" s="18" t="e">
        <x:f>HYPERLINK("transcripts/AwBeyxqCiK4.html","Complete transcript")</x:f>
        <x:v>HYPERLINK is not implemented. linkLocation=transcripts/AwBeyxqCiK4.html, friendlyName=Complete transcript</x:v>
      </x:c>
      <x:c r="F130" s="13" t="str">
        <x:v>PETE_EXPLICIT</x:v>
      </x:c>
      <x:c r="G130" s="17" t="str">
        <x:v>UNREVIEWED</x:v>
      </x:c>
      <x:c r="H130" s="17" t="str"/>
      <x:c r="I130" s="17" t="str"/>
      <x:c r="J130" s="17" t="str"/>
      <x:c r="K130" s="17" t="str"/>
      <x:c r="L130" s="17" t="str"/>
      <x:c r="M130" s="17" t="str">
        <x:v>PENDING WHOLE-VIDEO REVIEW</x:v>
      </x:c>
      <x:c r="N130" s="15" t="n">
        <x:v>1039</x:v>
      </x:c>
      <x:c r="O130" s="15" t="n">
        <x:v>7058</x:v>
      </x:c>
      <x:c r="P130" s="15" t="n">
        <x:v>1998</x:v>
      </x:c>
      <x:c r="Q130" s="13" t="str">
        <x:v>NO_LARGE_TAIL_GAP</x:v>
      </x:c>
      <x:c r="R130" s="13" t="str"/>
      <x:c r="S130" s="16" t="n">
        <x:v>0</x:v>
      </x:c>
      <x:c r="T130" s="13" t="str">
        <x:v>9bd55b8f035ec054479ca4ea2b8165fb68b8d216a01b5d924afb8275f7f3e98a</x:v>
      </x:c>
    </x:row>
    <x:row r="131" ht="15" hidden="0" customHeight="1">
      <x:c r="A131" s="13" t="str">
        <x:v>AyhwrHqSqMo</x:v>
      </x:c>
      <x:c r="B131" s="13" t="str">
        <x:v>How to Buy Stocks at the Right Time</x:v>
      </x:c>
      <x:c r="C131" s="14" t="d">
        <x:v>2020-07-24T00:00:00.000Z</x:v>
      </x:c>
      <x:c r="D131" s="18" t="e">
        <x:f>HYPERLINK("https://www.youtube.com/watch?v=AyhwrHqSqMo","Watch video")</x:f>
        <x:v>HYPERLINK is not implemented. linkLocation=https://www.youtube.com/watch?v=AyhwrHqSqMo, friendlyName=Watch video</x:v>
      </x:c>
      <x:c r="E131" s="18" t="e">
        <x:f>HYPERLINK("transcripts/AyhwrHqSqMo.html","Complete transcript")</x:f>
        <x:v>HYPERLINK is not implemented. linkLocation=transcripts/AyhwrHqSqMo.html, friendlyName=Complete transcript</x:v>
      </x:c>
      <x:c r="F131" s="13" t="str">
        <x:v>PETE_EXPLICIT</x:v>
      </x:c>
      <x:c r="G131" s="17" t="str">
        <x:v>UNREVIEWED</x:v>
      </x:c>
      <x:c r="H131" s="17" t="str"/>
      <x:c r="I131" s="17" t="str"/>
      <x:c r="J131" s="17" t="str"/>
      <x:c r="K131" s="17" t="str"/>
      <x:c r="L131" s="17" t="str"/>
      <x:c r="M131" s="17" t="str">
        <x:v>PENDING WHOLE-VIDEO REVIEW</x:v>
      </x:c>
      <x:c r="N131" s="15" t="n">
        <x:v>608</x:v>
      </x:c>
      <x:c r="O131" s="15" t="n">
        <x:v>3702</x:v>
      </x:c>
      <x:c r="P131" s="15" t="n">
        <x:v>1108</x:v>
      </x:c>
      <x:c r="Q131" s="13" t="str">
        <x:v>NO_LARGE_TAIL_GAP</x:v>
      </x:c>
      <x:c r="R131" s="13" t="str"/>
      <x:c r="S131" s="16" t="n">
        <x:v>0</x:v>
      </x:c>
      <x:c r="T131" s="13" t="str">
        <x:v>5123d67826d8aa7859c552fb4b9df1b01936af4e7c5c947395fb9c25f4a5997d</x:v>
      </x:c>
    </x:row>
    <x:row r="132" ht="15" hidden="0" customHeight="1">
      <x:c r="A132" s="13" t="str">
        <x:v>Azdwo5P84l0</x:v>
      </x:c>
      <x:c r="B132" s="13" t="str">
        <x:v>Stocks for Breakfast | Why You're Losing Money</x:v>
      </x:c>
      <x:c r="C132" s="14" t="d">
        <x:v>2020-11-12T00:00:00.000Z</x:v>
      </x:c>
      <x:c r="D132" s="18" t="e">
        <x:f>HYPERLINK("https://www.youtube.com/watch?v=Azdwo5P84l0","Watch video")</x:f>
        <x:v>HYPERLINK is not implemented. linkLocation=https://www.youtube.com/watch?v=Azdwo5P84l0, friendlyName=Watch video</x:v>
      </x:c>
      <x:c r="E132" s="18" t="e">
        <x:f>HYPERLINK("transcripts/Azdwo5P84l0.html","Complete transcript")</x:f>
        <x:v>HYPERLINK is not implemented. linkLocation=transcripts/Azdwo5P84l0.html, friendlyName=Complete transcript</x:v>
      </x:c>
      <x:c r="F132" s="13" t="str">
        <x:v>PETE_EXPLICIT</x:v>
      </x:c>
      <x:c r="G132" s="17" t="str">
        <x:v>UNREVIEWED</x:v>
      </x:c>
      <x:c r="H132" s="17" t="str"/>
      <x:c r="I132" s="17" t="str"/>
      <x:c r="J132" s="17" t="str"/>
      <x:c r="K132" s="17" t="str"/>
      <x:c r="L132" s="17" t="str"/>
      <x:c r="M132" s="17" t="str">
        <x:v>PENDING WHOLE-VIDEO REVIEW</x:v>
      </x:c>
      <x:c r="N132" s="15" t="n">
        <x:v>285</x:v>
      </x:c>
      <x:c r="O132" s="15" t="n">
        <x:v>1722</x:v>
      </x:c>
      <x:c r="P132" s="15" t="n">
        <x:v>514</x:v>
      </x:c>
      <x:c r="Q132" s="13" t="str">
        <x:v>NO_LARGE_TAIL_GAP</x:v>
      </x:c>
      <x:c r="R132" s="13" t="str"/>
      <x:c r="S132" s="16" t="n">
        <x:v>0</x:v>
      </x:c>
      <x:c r="T132" s="13" t="str">
        <x:v>32629efe9ec113d7eb72303e52d8a8ee74b62f012587396ee382e8ea54caa8b0</x:v>
      </x:c>
    </x:row>
    <x:row r="133" ht="15" hidden="0" customHeight="1">
      <x:c r="A133" s="13" t="str">
        <x:v>B6xnL-V3okQ</x:v>
      </x:c>
      <x:c r="B133" s="13" t="str">
        <x:v>Options Trading 101: How to Identify Opportunity</x:v>
      </x:c>
      <x:c r="C133" s="14" t="d">
        <x:v>2024-07-11T00:00:00.000Z</x:v>
      </x:c>
      <x:c r="D133" s="18" t="e">
        <x:f>HYPERLINK("https://www.youtube.com/watch?v=B6xnL-V3okQ","Watch video")</x:f>
        <x:v>HYPERLINK is not implemented. linkLocation=https://www.youtube.com/watch?v=B6xnL-V3okQ, friendlyName=Watch video</x:v>
      </x:c>
      <x:c r="E133" s="18" t="e">
        <x:f>HYPERLINK("transcripts/B6xnL-V3okQ.html","Complete transcript")</x:f>
        <x:v>HYPERLINK is not implemented. linkLocation=transcripts/B6xnL-V3okQ.html, friendlyName=Complete transcript</x:v>
      </x:c>
      <x:c r="F133" s="13" t="str">
        <x:v>UNKNOWN_REQUIRES_REVIEW</x:v>
      </x:c>
      <x:c r="G133" s="17" t="str">
        <x:v>UNREVIEWED</x:v>
      </x:c>
      <x:c r="H133" s="17" t="str"/>
      <x:c r="I133" s="17" t="str"/>
      <x:c r="J133" s="17" t="str"/>
      <x:c r="K133" s="17" t="str"/>
      <x:c r="L133" s="17" t="str"/>
      <x:c r="M133" s="17" t="str">
        <x:v>PENDING WHOLE-VIDEO REVIEW</x:v>
      </x:c>
      <x:c r="N133" s="15" t="n">
        <x:v>166</x:v>
      </x:c>
      <x:c r="O133" s="15" t="n">
        <x:v>1237</x:v>
      </x:c>
      <x:c r="P133" s="15" t="n">
        <x:v>371</x:v>
      </x:c>
      <x:c r="Q133" s="13" t="str">
        <x:v>NO_LARGE_TAIL_GAP</x:v>
      </x:c>
      <x:c r="R133" s="13" t="str"/>
      <x:c r="S133" s="16" t="n">
        <x:v>0</x:v>
      </x:c>
      <x:c r="T133" s="13" t="str">
        <x:v>aa73ef6f501a79b16f8784321335c57dd797afc9b9d6f707b430627ab6e6ec4e</x:v>
      </x:c>
    </x:row>
    <x:row r="134" ht="15" hidden="0" customHeight="1">
      <x:c r="A134" s="13" t="str">
        <x:v>B9t88hYhhew</x:v>
      </x:c>
      <x:c r="B134" s="13" t="str">
        <x:v>Best Stock Picks Today | HOG Breakout Trade 11-3-20</x:v>
      </x:c>
      <x:c r="C134" s="14" t="d">
        <x:v>2020-11-03T00:00:00.000Z</x:v>
      </x:c>
      <x:c r="D134" s="18" t="e">
        <x:f>HYPERLINK("https://www.youtube.com/watch?v=B9t88hYhhew","Watch video")</x:f>
        <x:v>HYPERLINK is not implemented. linkLocation=https://www.youtube.com/watch?v=B9t88hYhhew, friendlyName=Watch video</x:v>
      </x:c>
      <x:c r="E134" s="18" t="e">
        <x:f>HYPERLINK("transcripts/B9t88hYhhew.html","Complete transcript")</x:f>
        <x:v>HYPERLINK is not implemented. linkLocation=transcripts/B9t88hYhhew.html, friendlyName=Complete transcript</x:v>
      </x:c>
      <x:c r="F134" s="13" t="str">
        <x:v>PETE_EXPLICIT</x:v>
      </x:c>
      <x:c r="G134" s="17" t="str">
        <x:v>UNREVIEWED</x:v>
      </x:c>
      <x:c r="H134" s="17" t="str"/>
      <x:c r="I134" s="17" t="str"/>
      <x:c r="J134" s="17" t="str"/>
      <x:c r="K134" s="17" t="str"/>
      <x:c r="L134" s="17" t="str"/>
      <x:c r="M134" s="17" t="str">
        <x:v>PENDING WHOLE-VIDEO REVIEW</x:v>
      </x:c>
      <x:c r="N134" s="15" t="n">
        <x:v>312</x:v>
      </x:c>
      <x:c r="O134" s="15" t="n">
        <x:v>1926</x:v>
      </x:c>
      <x:c r="P134" s="15" t="n">
        <x:v>563</x:v>
      </x:c>
      <x:c r="Q134" s="13" t="str">
        <x:v>NO_LARGE_TAIL_GAP</x:v>
      </x:c>
      <x:c r="R134" s="13" t="str"/>
      <x:c r="S134" s="16" t="n">
        <x:v>0</x:v>
      </x:c>
      <x:c r="T134" s="13" t="str">
        <x:v>ace4ee4ccea01aac075e9cdd62517df2717ada1de403f09cb4393b2462b46d60</x:v>
      </x:c>
    </x:row>
    <x:row r="135" ht="15" hidden="0" customHeight="1">
      <x:c r="A135" s="13" t="str">
        <x:v>B9uX7wON1Lc</x:v>
      </x:c>
      <x:c r="B135" s="13" t="str">
        <x:v>Options Lessons: Profiting In A Sideways Market</x:v>
      </x:c>
      <x:c r="C135" s="14" t="d">
        <x:v>2026-02-26T00:00:00.000Z</x:v>
      </x:c>
      <x:c r="D135" s="18" t="e">
        <x:f>HYPERLINK("https://www.youtube.com/watch?v=B9uX7wON1Lc","Watch video")</x:f>
        <x:v>HYPERLINK is not implemented. linkLocation=https://www.youtube.com/watch?v=B9uX7wON1Lc, friendlyName=Watch video</x:v>
      </x:c>
      <x:c r="E135" s="18" t="e">
        <x:f>HYPERLINK("transcripts/B9uX7wON1Lc.html","Complete transcript")</x:f>
        <x:v>HYPERLINK is not implemented. linkLocation=transcripts/B9uX7wON1Lc.html, friendlyName=Complete transcript</x:v>
      </x:c>
      <x:c r="F135" s="13" t="str">
        <x:v>UNKNOWN_REQUIRES_REVIEW</x:v>
      </x:c>
      <x:c r="G135" s="17" t="str">
        <x:v>UNREVIEWED</x:v>
      </x:c>
      <x:c r="H135" s="17" t="str"/>
      <x:c r="I135" s="17" t="str"/>
      <x:c r="J135" s="17" t="str"/>
      <x:c r="K135" s="17" t="str"/>
      <x:c r="L135" s="17" t="str"/>
      <x:c r="M135" s="17" t="str">
        <x:v>PENDING WHOLE-VIDEO REVIEW</x:v>
      </x:c>
      <x:c r="N135" s="15" t="n">
        <x:v>313</x:v>
      </x:c>
      <x:c r="O135" s="15" t="n">
        <x:v>2271</x:v>
      </x:c>
      <x:c r="P135" s="15" t="n">
        <x:v>699</x:v>
      </x:c>
      <x:c r="Q135" s="13" t="str">
        <x:v>NO_LARGE_TAIL_GAP</x:v>
      </x:c>
      <x:c r="R135" s="13" t="str"/>
      <x:c r="S135" s="16" t="n">
        <x:v>0</x:v>
      </x:c>
      <x:c r="T135" s="13" t="str">
        <x:v>9eaa36d622978901355b56ed78b669d3704b24ada0d954882e9226dac8947271</x:v>
      </x:c>
    </x:row>
    <x:row r="136" ht="15" hidden="0" customHeight="1">
      <x:c r="A136" s="13" t="str">
        <x:v>BSh-pj15unU</x:v>
      </x:c>
      <x:c r="B136" s="13" t="str">
        <x:v>Simple Moving Average Trading System for Beginners</x:v>
      </x:c>
      <x:c r="C136" s="14" t="d">
        <x:v>2021-01-05T00:00:00.000Z</x:v>
      </x:c>
      <x:c r="D136" s="18" t="e">
        <x:f>HYPERLINK("https://www.youtube.com/watch?v=BSh-pj15unU","Watch video")</x:f>
        <x:v>HYPERLINK is not implemented. linkLocation=https://www.youtube.com/watch?v=BSh-pj15unU, friendlyName=Watch video</x:v>
      </x:c>
      <x:c r="E136" s="18" t="e">
        <x:f>HYPERLINK("transcripts/BSh-pj15unU.html","Complete transcript")</x:f>
        <x:v>HYPERLINK is not implemented. linkLocation=transcripts/BSh-pj15unU.html, friendlyName=Complete transcript</x:v>
      </x:c>
      <x:c r="F136" s="13" t="str">
        <x:v>PETE_EXPLICIT</x:v>
      </x:c>
      <x:c r="G136" s="17" t="str">
        <x:v>UNREVIEWED</x:v>
      </x:c>
      <x:c r="H136" s="17" t="str"/>
      <x:c r="I136" s="17" t="str"/>
      <x:c r="J136" s="17" t="str"/>
      <x:c r="K136" s="17" t="str"/>
      <x:c r="L136" s="17" t="str"/>
      <x:c r="M136" s="17" t="str">
        <x:v>PENDING WHOLE-VIDEO REVIEW</x:v>
      </x:c>
      <x:c r="N136" s="15" t="n">
        <x:v>555</x:v>
      </x:c>
      <x:c r="O136" s="15" t="n">
        <x:v>3331</x:v>
      </x:c>
      <x:c r="P136" s="15" t="n">
        <x:v>1051</x:v>
      </x:c>
      <x:c r="Q136" s="13" t="str">
        <x:v>NO_LARGE_TAIL_GAP</x:v>
      </x:c>
      <x:c r="R136" s="13" t="str"/>
      <x:c r="S136" s="16" t="n">
        <x:v>0</x:v>
      </x:c>
      <x:c r="T136" s="13" t="str">
        <x:v>66b347203d08b7651cbf4a3ea4c0ff3a4da0497de40cff79b6dd98d77868c65f</x:v>
      </x:c>
    </x:row>
    <x:row r="137" ht="15" hidden="0" customHeight="1">
      <x:c r="A137" s="13" t="str">
        <x:v>BUTM7rK2pPE</x:v>
      </x:c>
      <x:c r="B137" s="13" t="str">
        <x:v>Big Profits Without A High Win Rate</x:v>
      </x:c>
      <x:c r="C137" s="14" t="d">
        <x:v>2026-07-05T00:00:00.000Z</x:v>
      </x:c>
      <x:c r="D137" s="18" t="e">
        <x:f>HYPERLINK("https://www.youtube.com/watch?v=BUTM7rK2pPE","Watch video")</x:f>
        <x:v>HYPERLINK is not implemented. linkLocation=https://www.youtube.com/watch?v=BUTM7rK2pPE, friendlyName=Watch video</x:v>
      </x:c>
      <x:c r="E137" s="18" t="e">
        <x:f>HYPERLINK("transcripts/BUTM7rK2pPE.html","Complete transcript")</x:f>
        <x:v>HYPERLINK is not implemented. linkLocation=transcripts/BUTM7rK2pPE.html, friendlyName=Complete transcript</x:v>
      </x:c>
      <x:c r="F137" s="13" t="str">
        <x:v>PETE_EXPLICIT</x:v>
      </x:c>
      <x:c r="G137" s="17" t="str">
        <x:v>UNREVIEWED</x:v>
      </x:c>
      <x:c r="H137" s="17" t="str"/>
      <x:c r="I137" s="17" t="str"/>
      <x:c r="J137" s="17" t="str"/>
      <x:c r="K137" s="17" t="str"/>
      <x:c r="L137" s="17" t="str"/>
      <x:c r="M137" s="17" t="str">
        <x:v>PENDING WHOLE-VIDEO REVIEW</x:v>
      </x:c>
      <x:c r="N137" s="15" t="n">
        <x:v>832</x:v>
      </x:c>
      <x:c r="O137" s="15" t="n">
        <x:v>5931</x:v>
      </x:c>
      <x:c r="P137" s="15" t="n">
        <x:v>1697</x:v>
      </x:c>
      <x:c r="Q137" s="13" t="str">
        <x:v>NO_LARGE_TAIL_GAP</x:v>
      </x:c>
      <x:c r="R137" s="13" t="str"/>
      <x:c r="S137" s="16" t="n">
        <x:v>0</x:v>
      </x:c>
      <x:c r="T137" s="13" t="str">
        <x:v>5a3c51c03767632338ab080b12829920004235d205d14d9358749ed9d771b226</x:v>
      </x:c>
    </x:row>
    <x:row r="138" ht="15" hidden="0" customHeight="1">
      <x:c r="A138" s="13" t="str">
        <x:v>BWmb5gILKC4</x:v>
      </x:c>
      <x:c r="B138" s="13" t="str">
        <x:v>Options Trading Lesson | Vertical Spreads vs Diagonal Spreads</x:v>
      </x:c>
      <x:c r="C138" s="14" t="d">
        <x:v>2024-07-09T00:00:00.000Z</x:v>
      </x:c>
      <x:c r="D138" s="18" t="e">
        <x:f>HYPERLINK("https://www.youtube.com/watch?v=BWmb5gILKC4","Watch video")</x:f>
        <x:v>HYPERLINK is not implemented. linkLocation=https://www.youtube.com/watch?v=BWmb5gILKC4, friendlyName=Watch video</x:v>
      </x:c>
      <x:c r="E138" s="18" t="e">
        <x:f>HYPERLINK("transcripts/BWmb5gILKC4.html","Complete transcript")</x:f>
        <x:v>HYPERLINK is not implemented. linkLocation=transcripts/BWmb5gILKC4.html, friendlyName=Complete transcript</x:v>
      </x:c>
      <x:c r="F138" s="13" t="str">
        <x:v>UNKNOWN_REQUIRES_REVIEW</x:v>
      </x:c>
      <x:c r="G138" s="17" t="str">
        <x:v>UNREVIEWED</x:v>
      </x:c>
      <x:c r="H138" s="17" t="str"/>
      <x:c r="I138" s="17" t="str"/>
      <x:c r="J138" s="17" t="str"/>
      <x:c r="K138" s="17" t="str"/>
      <x:c r="L138" s="17" t="str"/>
      <x:c r="M138" s="17" t="str">
        <x:v>PENDING WHOLE-VIDEO REVIEW</x:v>
      </x:c>
      <x:c r="N138" s="15" t="n">
        <x:v>137</x:v>
      </x:c>
      <x:c r="O138" s="15" t="n">
        <x:v>935</x:v>
      </x:c>
      <x:c r="P138" s="15" t="n">
        <x:v>263</x:v>
      </x:c>
      <x:c r="Q138" s="13" t="str">
        <x:v>NO_LARGE_TAIL_GAP</x:v>
      </x:c>
      <x:c r="R138" s="13" t="str"/>
      <x:c r="S138" s="16" t="n">
        <x:v>4</x:v>
      </x:c>
      <x:c r="T138" s="13" t="str">
        <x:v>5b5b661d5a98f8b27421d2a90f6ac95f97a214fdfee03312ef17324c889cea93</x:v>
      </x:c>
    </x:row>
    <x:row r="139" ht="15" hidden="0" customHeight="1">
      <x:c r="A139" s="13" t="str">
        <x:v>BesbfrynJwo</x:v>
      </x:c>
      <x:c r="B139" s="13" t="str">
        <x:v>AMD Stock Breakout | 7-23-20 Best Stock Picks Today</x:v>
      </x:c>
      <x:c r="C139" s="14" t="d">
        <x:v>2020-07-23T00:00:00.000Z</x:v>
      </x:c>
      <x:c r="D139" s="18" t="e">
        <x:f>HYPERLINK("https://www.youtube.com/watch?v=BesbfrynJwo","Watch video")</x:f>
        <x:v>HYPERLINK is not implemented. linkLocation=https://www.youtube.com/watch?v=BesbfrynJwo, friendlyName=Watch video</x:v>
      </x:c>
      <x:c r="E139" s="18" t="e">
        <x:f>HYPERLINK("transcripts/BesbfrynJwo.html","Complete transcript")</x:f>
        <x:v>HYPERLINK is not implemented. linkLocation=transcripts/BesbfrynJwo.html, friendlyName=Complete transcript</x:v>
      </x:c>
      <x:c r="F139" s="13" t="str">
        <x:v>PETE_EXPLICIT</x:v>
      </x:c>
      <x:c r="G139" s="17" t="str">
        <x:v>UNREVIEWED</x:v>
      </x:c>
      <x:c r="H139" s="17" t="str"/>
      <x:c r="I139" s="17" t="str"/>
      <x:c r="J139" s="17" t="str"/>
      <x:c r="K139" s="17" t="str"/>
      <x:c r="L139" s="17" t="str"/>
      <x:c r="M139" s="17" t="str">
        <x:v>PENDING WHOLE-VIDEO REVIEW</x:v>
      </x:c>
      <x:c r="N139" s="15" t="n">
        <x:v>538</x:v>
      </x:c>
      <x:c r="O139" s="15" t="n">
        <x:v>3297</x:v>
      </x:c>
      <x:c r="P139" s="15" t="n">
        <x:v>939</x:v>
      </x:c>
      <x:c r="Q139" s="13" t="str">
        <x:v>NO_LARGE_TAIL_GAP</x:v>
      </x:c>
      <x:c r="R139" s="13" t="str"/>
      <x:c r="S139" s="16" t="n">
        <x:v>0</x:v>
      </x:c>
      <x:c r="T139" s="13" t="str">
        <x:v>ec680cf61c2af4bbf240f63ed4d29299c1d5a5c0d86915510a1d298c1e3de707</x:v>
      </x:c>
    </x:row>
    <x:row r="140" ht="15" hidden="0" customHeight="1">
      <x:c r="A140" s="13" t="str">
        <x:v>BhZEChP6QcQ</x:v>
      </x:c>
      <x:c r="B140" s="13" t="str">
        <x:v>Options Trading Myths Exposed Top Trading Pros</x:v>
      </x:c>
      <x:c r="C140" s="14" t="d">
        <x:v>2024-07-08T00:00:00.000Z</x:v>
      </x:c>
      <x:c r="D140" s="18" t="e">
        <x:f>HYPERLINK("https://www.youtube.com/watch?v=BhZEChP6QcQ","Watch video")</x:f>
        <x:v>HYPERLINK is not implemented. linkLocation=https://www.youtube.com/watch?v=BhZEChP6QcQ, friendlyName=Watch video</x:v>
      </x:c>
      <x:c r="E140" s="18" t="e">
        <x:f>HYPERLINK("transcripts/BhZEChP6QcQ.html","Complete transcript")</x:f>
        <x:v>HYPERLINK is not implemented. linkLocation=transcripts/BhZEChP6QcQ.html, friendlyName=Complete transcript</x:v>
      </x:c>
      <x:c r="F140" s="13" t="str">
        <x:v>NON_PETE_EXPLICIT_JOHN</x:v>
      </x:c>
      <x:c r="G140" s="17" t="str">
        <x:v>UNREVIEWED</x:v>
      </x:c>
      <x:c r="H140" s="17" t="str"/>
      <x:c r="I140" s="17" t="str"/>
      <x:c r="J140" s="17" t="str"/>
      <x:c r="K140" s="17" t="str"/>
      <x:c r="L140" s="17" t="str"/>
      <x:c r="M140" s="17" t="str">
        <x:v>PENDING WHOLE-VIDEO REVIEW</x:v>
      </x:c>
      <x:c r="N140" s="15" t="n">
        <x:v>106</x:v>
      </x:c>
      <x:c r="O140" s="15" t="n">
        <x:v>767</x:v>
      </x:c>
      <x:c r="P140" s="15" t="n">
        <x:v>250</x:v>
      </x:c>
      <x:c r="Q140" s="13" t="str">
        <x:v>NO_LARGE_TAIL_GAP</x:v>
      </x:c>
      <x:c r="R140" s="13" t="str"/>
      <x:c r="S140" s="16" t="n">
        <x:v>0</x:v>
      </x:c>
      <x:c r="T140" s="13" t="str">
        <x:v>145bdc0c3d47985ce2af9a342300cf8c61caeff8b9912db19836c6a304a78f93</x:v>
      </x:c>
    </x:row>
    <x:row r="141" ht="15" hidden="0" customHeight="1">
      <x:c r="A141" s="13" t="str">
        <x:v>BiKgwsKlDs4</x:v>
      </x:c>
      <x:c r="B141" s="13" t="str">
        <x:v>If day trading feels hard, do this</x:v>
      </x:c>
      <x:c r="C141" s="14" t="d">
        <x:v>2026-02-03T00:00:00.000Z</x:v>
      </x:c>
      <x:c r="D141" s="18" t="e">
        <x:f>HYPERLINK("https://www.youtube.com/watch?v=BiKgwsKlDs4","Watch video")</x:f>
        <x:v>HYPERLINK is not implemented. linkLocation=https://www.youtube.com/watch?v=BiKgwsKlDs4, friendlyName=Watch video</x:v>
      </x:c>
      <x:c r="E141" s="18" t="e">
        <x:f>HYPERLINK("transcripts/BiKgwsKlDs4.html","Complete transcript")</x:f>
        <x:v>HYPERLINK is not implemented. linkLocation=transcripts/BiKgwsKlDs4.html, friendlyName=Complete transcript</x:v>
      </x:c>
      <x:c r="F141" s="13" t="str">
        <x:v>UNKNOWN_REQUIRES_REVIEW</x:v>
      </x:c>
      <x:c r="G141" s="17" t="str">
        <x:v>UNREVIEWED</x:v>
      </x:c>
      <x:c r="H141" s="17" t="str"/>
      <x:c r="I141" s="17" t="str"/>
      <x:c r="J141" s="17" t="str"/>
      <x:c r="K141" s="17" t="str"/>
      <x:c r="L141" s="17" t="str"/>
      <x:c r="M141" s="17" t="str">
        <x:v>PENDING WHOLE-VIDEO REVIEW</x:v>
      </x:c>
      <x:c r="N141" s="15" t="n">
        <x:v>223</x:v>
      </x:c>
      <x:c r="O141" s="15" t="n">
        <x:v>1427</x:v>
      </x:c>
      <x:c r="P141" s="15" t="n">
        <x:v>469</x:v>
      </x:c>
      <x:c r="Q141" s="13" t="str">
        <x:v>NO_LARGE_TAIL_GAP</x:v>
      </x:c>
      <x:c r="R141" s="13" t="str"/>
      <x:c r="S141" s="16" t="n">
        <x:v>0</x:v>
      </x:c>
      <x:c r="T141" s="13" t="str">
        <x:v>dd8f1182a3125ec1888c3b3c55bc4eddd611ca3992d199232aedeb2b808640ca</x:v>
      </x:c>
    </x:row>
    <x:row r="142" ht="15" hidden="0" customHeight="1">
      <x:c r="A142" s="13" t="str">
        <x:v>BnjPDnQMIcI</x:v>
      </x:c>
      <x:c r="B142" s="13" t="str">
        <x:v>Day Trading Secrets | Advanced NYSE Tick &amp; VIX Techniques</x:v>
      </x:c>
      <x:c r="C142" s="14" t="d">
        <x:v>2022-03-23T00:00:00.000Z</x:v>
      </x:c>
      <x:c r="D142" s="18" t="e">
        <x:f>HYPERLINK("https://www.youtube.com/watch?v=BnjPDnQMIcI","Watch video")</x:f>
        <x:v>HYPERLINK is not implemented. linkLocation=https://www.youtube.com/watch?v=BnjPDnQMIcI, friendlyName=Watch video</x:v>
      </x:c>
      <x:c r="E142" s="18" t="e">
        <x:f>HYPERLINK("transcripts/BnjPDnQMIcI.html","Complete transcript")</x:f>
        <x:v>HYPERLINK is not implemented. linkLocation=transcripts/BnjPDnQMIcI.html, friendlyName=Complete transcript</x:v>
      </x:c>
      <x:c r="F142" s="13" t="str">
        <x:v>PETE_EXPLICIT</x:v>
      </x:c>
      <x:c r="G142" s="17" t="str">
        <x:v>UNREVIEWED</x:v>
      </x:c>
      <x:c r="H142" s="17" t="str"/>
      <x:c r="I142" s="17" t="str"/>
      <x:c r="J142" s="17" t="str"/>
      <x:c r="K142" s="17" t="str"/>
      <x:c r="L142" s="17" t="str"/>
      <x:c r="M142" s="17" t="str">
        <x:v>PENDING WHOLE-VIDEO REVIEW</x:v>
      </x:c>
      <x:c r="N142" s="15" t="n">
        <x:v>602</x:v>
      </x:c>
      <x:c r="O142" s="15" t="n">
        <x:v>4141</x:v>
      </x:c>
      <x:c r="P142" s="15" t="n">
        <x:v>1210</x:v>
      </x:c>
      <x:c r="Q142" s="13" t="str">
        <x:v>NO_LARGE_TAIL_GAP</x:v>
      </x:c>
      <x:c r="R142" s="13" t="str"/>
      <x:c r="S142" s="16" t="n">
        <x:v>0</x:v>
      </x:c>
      <x:c r="T142" s="13" t="str">
        <x:v>354e5ed18db31afc857d37108b81cd9dfc7ed2da03bf5189b11ee32d5a6ce189</x:v>
      </x:c>
    </x:row>
    <x:row r="143" ht="15" hidden="0" customHeight="1">
      <x:c r="A143" s="13" t="str">
        <x:v>BpGL_9F1Fp8</x:v>
      </x:c>
      <x:c r="B143" s="13" t="str">
        <x:v>Day Trading Strategy | Stocks for Breakfast</x:v>
      </x:c>
      <x:c r="C143" s="14" t="d">
        <x:v>2020-10-05T00:00:00.000Z</x:v>
      </x:c>
      <x:c r="D143" s="18" t="e">
        <x:f>HYPERLINK("https://www.youtube.com/watch?v=BpGL_9F1Fp8","Watch video")</x:f>
        <x:v>HYPERLINK is not implemented. linkLocation=https://www.youtube.com/watch?v=BpGL_9F1Fp8, friendlyName=Watch video</x:v>
      </x:c>
      <x:c r="E143" s="18" t="e">
        <x:f>HYPERLINK("transcripts/BpGL_9F1Fp8.html","Complete transcript")</x:f>
        <x:v>HYPERLINK is not implemented. linkLocation=transcripts/BpGL_9F1Fp8.html, friendlyName=Complete transcript</x:v>
      </x:c>
      <x:c r="F143" s="13" t="str">
        <x:v>UNKNOWN_REQUIRES_REVIEW</x:v>
      </x:c>
      <x:c r="G143" s="17" t="str">
        <x:v>UNREVIEWED</x:v>
      </x:c>
      <x:c r="H143" s="17" t="str"/>
      <x:c r="I143" s="17" t="str"/>
      <x:c r="J143" s="17" t="str"/>
      <x:c r="K143" s="17" t="str"/>
      <x:c r="L143" s="17" t="str"/>
      <x:c r="M143" s="17" t="str">
        <x:v>PENDING WHOLE-VIDEO REVIEW</x:v>
      </x:c>
      <x:c r="N143" s="15" t="n">
        <x:v>816</x:v>
      </x:c>
      <x:c r="O143" s="15" t="n">
        <x:v>5544</x:v>
      </x:c>
      <x:c r="P143" s="15" t="n">
        <x:v>1864</x:v>
      </x:c>
      <x:c r="Q143" s="13" t="str">
        <x:v>NO_LARGE_TAIL_GAP</x:v>
      </x:c>
      <x:c r="R143" s="13" t="str"/>
      <x:c r="S143" s="16" t="n">
        <x:v>0</x:v>
      </x:c>
      <x:c r="T143" s="13" t="str">
        <x:v>4666efd0fb82487cf7d8fb1d8f8e56129ba53bd0ca63e8623a440829ed474079</x:v>
      </x:c>
    </x:row>
    <x:row r="144" ht="15" hidden="0" customHeight="1">
      <x:c r="A144" s="13" t="str">
        <x:v>BxB73lf_Mh8</x:v>
      </x:c>
      <x:c r="B144" s="13" t="str">
        <x:v>Coronavirus Volatility | Stocks for Breakfast 3 3 20 | How to trade the right stocks.</x:v>
      </x:c>
      <x:c r="C144" s="14" t="d">
        <x:v>2020-03-03T00:00:00.000Z</x:v>
      </x:c>
      <x:c r="D144" s="18" t="e">
        <x:f>HYPERLINK("https://www.youtube.com/watch?v=BxB73lf_Mh8","Watch video")</x:f>
        <x:v>HYPERLINK is not implemented. linkLocation=https://www.youtube.com/watch?v=BxB73lf_Mh8, friendlyName=Watch video</x:v>
      </x:c>
      <x:c r="E144" s="18" t="e">
        <x:f>HYPERLINK("transcripts/BxB73lf_Mh8.html","Complete transcript")</x:f>
        <x:v>HYPERLINK is not implemented. linkLocation=transcripts/BxB73lf_Mh8.html, friendlyName=Complete transcript</x:v>
      </x:c>
      <x:c r="F144" s="13" t="str">
        <x:v>UNKNOWN_REQUIRES_REVIEW</x:v>
      </x:c>
      <x:c r="G144" s="17" t="str">
        <x:v>UNREVIEWED</x:v>
      </x:c>
      <x:c r="H144" s="17" t="str"/>
      <x:c r="I144" s="17" t="str"/>
      <x:c r="J144" s="17" t="str"/>
      <x:c r="K144" s="17" t="str"/>
      <x:c r="L144" s="17" t="str"/>
      <x:c r="M144" s="17" t="str">
        <x:v>PENDING WHOLE-VIDEO REVIEW</x:v>
      </x:c>
      <x:c r="N144" s="15" t="n">
        <x:v>806</x:v>
      </x:c>
      <x:c r="O144" s="15" t="n">
        <x:v>5765</x:v>
      </x:c>
      <x:c r="P144" s="15" t="n">
        <x:v>1722</x:v>
      </x:c>
      <x:c r="Q144" s="13" t="str">
        <x:v>NO_LARGE_TAIL_GAP</x:v>
      </x:c>
      <x:c r="R144" s="13" t="str"/>
      <x:c r="S144" s="16" t="n">
        <x:v>0</x:v>
      </x:c>
      <x:c r="T144" s="13" t="str">
        <x:v>3be86f3651207b904156e24927b5aee45b0a5102ad8af419d2ff1e31a41d7673</x:v>
      </x:c>
    </x:row>
    <x:row r="145" ht="15" hidden="0" customHeight="1">
      <x:c r="A145" s="13" t="str">
        <x:v>C1VB9wn65IE</x:v>
      </x:c>
      <x:c r="B145" s="13" t="str">
        <x:v>Best Stock Picks Today 4 8 20</x:v>
      </x:c>
      <x:c r="C145" s="14" t="d">
        <x:v>2020-04-08T00:00:00.000Z</x:v>
      </x:c>
      <x:c r="D145" s="18" t="e">
        <x:f>HYPERLINK("https://www.youtube.com/watch?v=C1VB9wn65IE","Watch video")</x:f>
        <x:v>HYPERLINK is not implemented. linkLocation=https://www.youtube.com/watch?v=C1VB9wn65IE, friendlyName=Watch video</x:v>
      </x:c>
      <x:c r="E145" s="18" t="e">
        <x:f>HYPERLINK("transcripts/C1VB9wn65IE.html","Complete transcript")</x:f>
        <x:v>HYPERLINK is not implemented. linkLocation=transcripts/C1VB9wn65IE.html, friendlyName=Complete transcript</x:v>
      </x:c>
      <x:c r="F145" s="13" t="str">
        <x:v>UNKNOWN_REQUIRES_REVIEW</x:v>
      </x:c>
      <x:c r="G145" s="17" t="str">
        <x:v>UNREVIEWED</x:v>
      </x:c>
      <x:c r="H145" s="17" t="str"/>
      <x:c r="I145" s="17" t="str"/>
      <x:c r="J145" s="17" t="str"/>
      <x:c r="K145" s="17" t="str"/>
      <x:c r="L145" s="17" t="str"/>
      <x:c r="M145" s="17" t="str">
        <x:v>PENDING WHOLE-VIDEO REVIEW</x:v>
      </x:c>
      <x:c r="N145" s="15" t="n">
        <x:v>271</x:v>
      </x:c>
      <x:c r="O145" s="15" t="n">
        <x:v>1963</x:v>
      </x:c>
      <x:c r="P145" s="15" t="n">
        <x:v>605</x:v>
      </x:c>
      <x:c r="Q145" s="13" t="str">
        <x:v>NO_LARGE_TAIL_GAP</x:v>
      </x:c>
      <x:c r="R145" s="13" t="str"/>
      <x:c r="S145" s="16" t="n">
        <x:v>0</x:v>
      </x:c>
      <x:c r="T145" s="13" t="str">
        <x:v>941c68c750f7d9be74be03667df8c04019f682b3ebeb741e2c8b0790eb1e1b16</x:v>
      </x:c>
    </x:row>
    <x:row r="146" ht="15" hidden="0" customHeight="1">
      <x:c r="A146" s="13" t="str">
        <x:v>C7L-g-QxCDk</x:v>
      </x:c>
      <x:c r="B146" s="13" t="str">
        <x:v>Best Stock Picks Today Stock 8-19-20 | Stock Market All Time Highs</x:v>
      </x:c>
      <x:c r="C146" s="14" t="d">
        <x:v>2020-08-19T00:00:00.000Z</x:v>
      </x:c>
      <x:c r="D146" s="18" t="e">
        <x:f>HYPERLINK("https://www.youtube.com/watch?v=C7L-g-QxCDk","Watch video")</x:f>
        <x:v>HYPERLINK is not implemented. linkLocation=https://www.youtube.com/watch?v=C7L-g-QxCDk, friendlyName=Watch video</x:v>
      </x:c>
      <x:c r="E146" s="18" t="e">
        <x:f>HYPERLINK("transcripts/C7L-g-QxCDk.html","Complete transcript")</x:f>
        <x:v>HYPERLINK is not implemented. linkLocation=transcripts/C7L-g-QxCDk.html, friendlyName=Complete transcript</x:v>
      </x:c>
      <x:c r="F146" s="13" t="str">
        <x:v>PETE_EXPLICIT</x:v>
      </x:c>
      <x:c r="G146" s="17" t="str">
        <x:v>UNREVIEWED</x:v>
      </x:c>
      <x:c r="H146" s="17" t="str"/>
      <x:c r="I146" s="17" t="str"/>
      <x:c r="J146" s="17" t="str"/>
      <x:c r="K146" s="17" t="str"/>
      <x:c r="L146" s="17" t="str"/>
      <x:c r="M146" s="17" t="str">
        <x:v>PENDING WHOLE-VIDEO REVIEW</x:v>
      </x:c>
      <x:c r="N146" s="15" t="n">
        <x:v>466</x:v>
      </x:c>
      <x:c r="O146" s="15" t="n">
        <x:v>2945</x:v>
      </x:c>
      <x:c r="P146" s="15" t="n">
        <x:v>816</x:v>
      </x:c>
      <x:c r="Q146" s="13" t="str">
        <x:v>NO_LARGE_TAIL_GAP</x:v>
      </x:c>
      <x:c r="R146" s="13" t="str"/>
      <x:c r="S146" s="16" t="n">
        <x:v>0</x:v>
      </x:c>
      <x:c r="T146" s="13" t="str">
        <x:v>4418d1f0d6b95d99ab0d5bc8087ab363abb72bf150bcfa3b7a65ae820e3c719d</x:v>
      </x:c>
    </x:row>
    <x:row r="147" ht="15" hidden="0" customHeight="1">
      <x:c r="A147" s="13" t="str">
        <x:v>C8arCKno_gY</x:v>
      </x:c>
      <x:c r="B147" s="13" t="str">
        <x:v>FinViz Scanner: Finding Stocks with Consistent Order Flow</x:v>
      </x:c>
      <x:c r="C147" s="14" t="d">
        <x:v>2021-01-26T00:00:00.000Z</x:v>
      </x:c>
      <x:c r="D147" s="18" t="e">
        <x:f>HYPERLINK("https://www.youtube.com/watch?v=C8arCKno_gY","Watch video")</x:f>
        <x:v>HYPERLINK is not implemented. linkLocation=https://www.youtube.com/watch?v=C8arCKno_gY, friendlyName=Watch video</x:v>
      </x:c>
      <x:c r="E147" s="18" t="e">
        <x:f>HYPERLINK("transcripts/C8arCKno_gY.html","Complete transcript")</x:f>
        <x:v>HYPERLINK is not implemented. linkLocation=transcripts/C8arCKno_gY.html, friendlyName=Complete transcript</x:v>
      </x:c>
      <x:c r="F147" s="13" t="str">
        <x:v>PETE_EXPLICIT</x:v>
      </x:c>
      <x:c r="G147" s="17" t="str">
        <x:v>UNREVIEWED</x:v>
      </x:c>
      <x:c r="H147" s="17" t="str"/>
      <x:c r="I147" s="17" t="str"/>
      <x:c r="J147" s="17" t="str"/>
      <x:c r="K147" s="17" t="str"/>
      <x:c r="L147" s="17" t="str"/>
      <x:c r="M147" s="17" t="str">
        <x:v>PENDING WHOLE-VIDEO REVIEW</x:v>
      </x:c>
      <x:c r="N147" s="15" t="n">
        <x:v>338</x:v>
      </x:c>
      <x:c r="O147" s="15" t="n">
        <x:v>2071</x:v>
      </x:c>
      <x:c r="P147" s="15" t="n">
        <x:v>653</x:v>
      </x:c>
      <x:c r="Q147" s="13" t="str">
        <x:v>NO_LARGE_TAIL_GAP</x:v>
      </x:c>
      <x:c r="R147" s="13" t="str"/>
      <x:c r="S147" s="16" t="n">
        <x:v>0</x:v>
      </x:c>
      <x:c r="T147" s="13" t="str">
        <x:v>b12b3ccd2087d92c10e8e06423515d33da16b9de4e607fad65eeea66a965a931</x:v>
      </x:c>
    </x:row>
    <x:row r="148" ht="15" hidden="0" customHeight="1">
      <x:c r="A148" s="13" t="str">
        <x:v>CFiAzAYK5-o</x:v>
      </x:c>
      <x:c r="B148" s="13" t="str">
        <x:v>Best Stock Picks Today | Trading COST Earnings 9-24-20</x:v>
      </x:c>
      <x:c r="C148" s="14" t="d">
        <x:v>2020-09-24T00:00:00.000Z</x:v>
      </x:c>
      <x:c r="D148" s="18" t="e">
        <x:f>HYPERLINK("https://www.youtube.com/watch?v=CFiAzAYK5-o","Watch video")</x:f>
        <x:v>HYPERLINK is not implemented. linkLocation=https://www.youtube.com/watch?v=CFiAzAYK5-o, friendlyName=Watch video</x:v>
      </x:c>
      <x:c r="E148" s="18" t="e">
        <x:f>HYPERLINK("transcripts/CFiAzAYK5-o.html","Complete transcript")</x:f>
        <x:v>HYPERLINK is not implemented. linkLocation=transcripts/CFiAzAYK5-o.html, friendlyName=Complete transcript</x:v>
      </x:c>
      <x:c r="F148" s="13" t="str">
        <x:v>UNKNOWN_REQUIRES_REVIEW</x:v>
      </x:c>
      <x:c r="G148" s="17" t="str">
        <x:v>UNREVIEWED</x:v>
      </x:c>
      <x:c r="H148" s="17" t="str"/>
      <x:c r="I148" s="17" t="str"/>
      <x:c r="J148" s="17" t="str"/>
      <x:c r="K148" s="17" t="str"/>
      <x:c r="L148" s="17" t="str"/>
      <x:c r="M148" s="17" t="str">
        <x:v>PENDING WHOLE-VIDEO REVIEW</x:v>
      </x:c>
      <x:c r="N148" s="15" t="n">
        <x:v>428</x:v>
      </x:c>
      <x:c r="O148" s="15" t="n">
        <x:v>2686</x:v>
      </x:c>
      <x:c r="P148" s="15" t="n">
        <x:v>767</x:v>
      </x:c>
      <x:c r="Q148" s="13" t="str">
        <x:v>NO_LARGE_TAIL_GAP</x:v>
      </x:c>
      <x:c r="R148" s="13" t="str"/>
      <x:c r="S148" s="16" t="n">
        <x:v>0</x:v>
      </x:c>
      <x:c r="T148" s="13" t="str">
        <x:v>8180aaf2c507075dd1a54b5f67d14f298ce4b4a7d84fdc9d8919a532bf80f54d</x:v>
      </x:c>
    </x:row>
    <x:row r="149" ht="15" hidden="0" customHeight="1">
      <x:c r="A149" s="13" t="str">
        <x:v>CIHs-4_3l28</x:v>
      </x:c>
      <x:c r="B149" s="13" t="str">
        <x:v>Simple Candlestick Chart Analysis</x:v>
      </x:c>
      <x:c r="C149" s="14" t="d">
        <x:v>2020-06-25T00:00:00.000Z</x:v>
      </x:c>
      <x:c r="D149" s="18" t="e">
        <x:f>HYPERLINK("https://www.youtube.com/watch?v=CIHs-4_3l28","Watch video")</x:f>
        <x:v>HYPERLINK is not implemented. linkLocation=https://www.youtube.com/watch?v=CIHs-4_3l28, friendlyName=Watch video</x:v>
      </x:c>
      <x:c r="E149" s="18" t="e">
        <x:f>HYPERLINK("transcripts/CIHs-4_3l28.html","Complete transcript")</x:f>
        <x:v>HYPERLINK is not implemented. linkLocation=transcripts/CIHs-4_3l28.html, friendlyName=Complete transcript</x:v>
      </x:c>
      <x:c r="F149" s="13" t="str">
        <x:v>UNKNOWN_REQUIRES_REVIEW</x:v>
      </x:c>
      <x:c r="G149" s="17" t="str">
        <x:v>UNREVIEWED</x:v>
      </x:c>
      <x:c r="H149" s="17" t="str"/>
      <x:c r="I149" s="17" t="str"/>
      <x:c r="J149" s="17" t="str"/>
      <x:c r="K149" s="17" t="str"/>
      <x:c r="L149" s="17" t="str"/>
      <x:c r="M149" s="17" t="str">
        <x:v>PENDING WHOLE-VIDEO REVIEW</x:v>
      </x:c>
      <x:c r="N149" s="15" t="n">
        <x:v>492</x:v>
      </x:c>
      <x:c r="O149" s="15" t="n">
        <x:v>3568</x:v>
      </x:c>
      <x:c r="P149" s="15" t="n">
        <x:v>1050</x:v>
      </x:c>
      <x:c r="Q149" s="13" t="str">
        <x:v>NO_LARGE_TAIL_GAP</x:v>
      </x:c>
      <x:c r="R149" s="13" t="str"/>
      <x:c r="S149" s="16" t="n">
        <x:v>0</x:v>
      </x:c>
      <x:c r="T149" s="13" t="str">
        <x:v>813df4504dd60f1875efde20d646a97a5a04e6c754c927185d7bc76f8b24bcd8</x:v>
      </x:c>
    </x:row>
    <x:row r="150" ht="15" hidden="0" customHeight="1">
      <x:c r="A150" s="13" t="str">
        <x:v>CJrtuWCXOgA</x:v>
      </x:c>
      <x:c r="B150" s="13" t="str">
        <x:v>Stock Market: Find the Best Stocks to Buy Now [DOWNLOAD]</x:v>
      </x:c>
      <x:c r="C150" s="14" t="d">
        <x:v>2022-03-22T00:00:00.000Z</x:v>
      </x:c>
      <x:c r="D150" s="18" t="e">
        <x:f>HYPERLINK("https://www.youtube.com/watch?v=CJrtuWCXOgA","Watch video")</x:f>
        <x:v>HYPERLINK is not implemented. linkLocation=https://www.youtube.com/watch?v=CJrtuWCXOgA, friendlyName=Watch video</x:v>
      </x:c>
      <x:c r="E150" s="18" t="e">
        <x:f>HYPERLINK("transcripts/CJrtuWCXOgA.html","Complete transcript")</x:f>
        <x:v>HYPERLINK is not implemented. linkLocation=transcripts/CJrtuWCXOgA.html, friendlyName=Complete transcript</x:v>
      </x:c>
      <x:c r="F150" s="13" t="str">
        <x:v>PETE_EXPLICIT</x:v>
      </x:c>
      <x:c r="G150" s="17" t="str">
        <x:v>UNREVIEWED</x:v>
      </x:c>
      <x:c r="H150" s="17" t="str"/>
      <x:c r="I150" s="17" t="str"/>
      <x:c r="J150" s="17" t="str"/>
      <x:c r="K150" s="17" t="str"/>
      <x:c r="L150" s="17" t="str"/>
      <x:c r="M150" s="17" t="str">
        <x:v>PENDING WHOLE-VIDEO REVIEW</x:v>
      </x:c>
      <x:c r="N150" s="15" t="n">
        <x:v>145</x:v>
      </x:c>
      <x:c r="O150" s="15" t="n">
        <x:v>1075</x:v>
      </x:c>
      <x:c r="P150" s="15" t="n">
        <x:v>271</x:v>
      </x:c>
      <x:c r="Q150" s="13" t="str">
        <x:v>NO_LARGE_TAIL_GAP</x:v>
      </x:c>
      <x:c r="R150" s="13" t="str">
        <x:v>PROVISIONAL_DUPLICATE_01</x:v>
      </x:c>
      <x:c r="S150" s="16" t="n">
        <x:v>0</x:v>
      </x:c>
      <x:c r="T150" s="13" t="str">
        <x:v>75f685b007d8dfcd33c40a2073fcfcbfc846afcecba552f75bf677b600a435b6</x:v>
      </x:c>
    </x:row>
    <x:row r="151" ht="15" hidden="0" customHeight="1">
      <x:c r="A151" s="13" t="str">
        <x:v>CMoLdUCoD1k</x:v>
      </x:c>
      <x:c r="B151" s="13" t="str">
        <x:v>TSLA Stock Hits $2,000 | Best Stock Picks Today 8-21-20</x:v>
      </x:c>
      <x:c r="C151" s="14" t="d">
        <x:v>2020-08-21T00:00:00.000Z</x:v>
      </x:c>
      <x:c r="D151" s="18" t="e">
        <x:f>HYPERLINK("https://www.youtube.com/watch?v=CMoLdUCoD1k","Watch video")</x:f>
        <x:v>HYPERLINK is not implemented. linkLocation=https://www.youtube.com/watch?v=CMoLdUCoD1k, friendlyName=Watch video</x:v>
      </x:c>
      <x:c r="E151" s="18" t="e">
        <x:f>HYPERLINK("transcripts/CMoLdUCoD1k.html","Complete transcript")</x:f>
        <x:v>HYPERLINK is not implemented. linkLocation=transcripts/CMoLdUCoD1k.html, friendlyName=Complete transcript</x:v>
      </x:c>
      <x:c r="F151" s="13" t="str">
        <x:v>PETE_EXPLICIT</x:v>
      </x:c>
      <x:c r="G151" s="17" t="str">
        <x:v>UNREVIEWED</x:v>
      </x:c>
      <x:c r="H151" s="17" t="str"/>
      <x:c r="I151" s="17" t="str"/>
      <x:c r="J151" s="17" t="str"/>
      <x:c r="K151" s="17" t="str"/>
      <x:c r="L151" s="17" t="str"/>
      <x:c r="M151" s="17" t="str">
        <x:v>PENDING WHOLE-VIDEO REVIEW</x:v>
      </x:c>
      <x:c r="N151" s="15" t="n">
        <x:v>444</x:v>
      </x:c>
      <x:c r="O151" s="15" t="n">
        <x:v>2777</x:v>
      </x:c>
      <x:c r="P151" s="15" t="n">
        <x:v>747</x:v>
      </x:c>
      <x:c r="Q151" s="13" t="str">
        <x:v>NO_LARGE_TAIL_GAP</x:v>
      </x:c>
      <x:c r="R151" s="13" t="str"/>
      <x:c r="S151" s="16" t="n">
        <x:v>0</x:v>
      </x:c>
      <x:c r="T151" s="13" t="str">
        <x:v>36462e0f6611a331111ee5187067c549a088e5ae9c3a30cfb22afa86b11b822f</x:v>
      </x:c>
    </x:row>
    <x:row r="152" ht="15" hidden="0" customHeight="1">
      <x:c r="A152" s="13" t="str">
        <x:v>CMowYXrumNc</x:v>
      </x:c>
      <x:c r="B152" s="13" t="str">
        <x:v>How To Use Moving Averages in Swing Trading (EMA vs. SMA)?</x:v>
      </x:c>
      <x:c r="C152" s="14" t="d">
        <x:v>2026-05-19T00:00:00.000Z</x:v>
      </x:c>
      <x:c r="D152" s="18" t="e">
        <x:f>HYPERLINK("https://www.youtube.com/watch?v=CMowYXrumNc","Watch video")</x:f>
        <x:v>HYPERLINK is not implemented. linkLocation=https://www.youtube.com/watch?v=CMowYXrumNc, friendlyName=Watch video</x:v>
      </x:c>
      <x:c r="E152" s="18" t="e">
        <x:f>HYPERLINK("transcripts/CMowYXrumNc.html","Complete transcript")</x:f>
        <x:v>HYPERLINK is not implemented. linkLocation=transcripts/CMowYXrumNc.html, friendlyName=Complete transcript</x:v>
      </x:c>
      <x:c r="F152" s="13" t="str">
        <x:v>UNKNOWN_REQUIRES_REVIEW</x:v>
      </x:c>
      <x:c r="G152" s="17" t="str">
        <x:v>UNREVIEWED</x:v>
      </x:c>
      <x:c r="H152" s="17" t="str"/>
      <x:c r="I152" s="17" t="str"/>
      <x:c r="J152" s="17" t="str"/>
      <x:c r="K152" s="17" t="str"/>
      <x:c r="L152" s="17" t="str"/>
      <x:c r="M152" s="17" t="str">
        <x:v>PENDING WHOLE-VIDEO REVIEW</x:v>
      </x:c>
      <x:c r="N152" s="15" t="n">
        <x:v>277</x:v>
      </x:c>
      <x:c r="O152" s="15" t="n">
        <x:v>1737</x:v>
      </x:c>
      <x:c r="P152" s="15" t="n">
        <x:v>556</x:v>
      </x:c>
      <x:c r="Q152" s="13" t="str">
        <x:v>NO_LARGE_TAIL_GAP</x:v>
      </x:c>
      <x:c r="R152" s="13" t="str"/>
      <x:c r="S152" s="16" t="n">
        <x:v>0</x:v>
      </x:c>
      <x:c r="T152" s="13" t="str">
        <x:v>7bfc9cbc0cdafa6aae4184dad55fa87d6494290daea90e4dd424f31e29f60c6d</x:v>
      </x:c>
    </x:row>
    <x:row r="153" ht="15" hidden="0" customHeight="1">
      <x:c r="A153" s="13" t="str">
        <x:v>CfFEoEB-R-g</x:v>
      </x:c>
      <x:c r="B153" s="13" t="str">
        <x:v>$AAPL Downgrade | Stocks to Trade | 4.8.15</x:v>
      </x:c>
      <x:c r="C153" s="14" t="d">
        <x:v>2015-04-08T00:00:00.000Z</x:v>
      </x:c>
      <x:c r="D153" s="18" t="e">
        <x:f>HYPERLINK("https://www.youtube.com/watch?v=CfFEoEB-R-g","Watch video")</x:f>
        <x:v>HYPERLINK is not implemented. linkLocation=https://www.youtube.com/watch?v=CfFEoEB-R-g, friendlyName=Watch video</x:v>
      </x:c>
      <x:c r="E153" s="18" t="e">
        <x:f>HYPERLINK("transcripts/CfFEoEB-R-g.html","Complete transcript")</x:f>
        <x:v>HYPERLINK is not implemented. linkLocation=transcripts/CfFEoEB-R-g.html, friendlyName=Complete transcript</x:v>
      </x:c>
      <x:c r="F153" s="13" t="str">
        <x:v>UNKNOWN_REQUIRES_REVIEW</x:v>
      </x:c>
      <x:c r="G153" s="17" t="str">
        <x:v>UNREVIEWED</x:v>
      </x:c>
      <x:c r="H153" s="17" t="str"/>
      <x:c r="I153" s="17" t="str"/>
      <x:c r="J153" s="17" t="str"/>
      <x:c r="K153" s="17" t="str"/>
      <x:c r="L153" s="17" t="str"/>
      <x:c r="M153" s="17" t="str">
        <x:v>PENDING WHOLE-VIDEO REVIEW</x:v>
      </x:c>
      <x:c r="N153" s="15" t="n">
        <x:v>594</x:v>
      </x:c>
      <x:c r="O153" s="15" t="n">
        <x:v>4233</x:v>
      </x:c>
      <x:c r="P153" s="15" t="n">
        <x:v>1284</x:v>
      </x:c>
      <x:c r="Q153" s="13" t="str">
        <x:v>NO_LARGE_TAIL_GAP</x:v>
      </x:c>
      <x:c r="R153" s="13" t="str"/>
      <x:c r="S153" s="16" t="n">
        <x:v>0</x:v>
      </x:c>
      <x:c r="T153" s="13" t="str">
        <x:v>de27ee64912baa597be0805a74ad1b46fdc5a598d1668831052aea4fa5c01ead</x:v>
      </x:c>
    </x:row>
    <x:row r="154" ht="15" hidden="0" customHeight="1">
      <x:c r="A154" s="13" t="str">
        <x:v>CgbzpyJto_w</x:v>
      </x:c>
      <x:c r="B154" s="13" t="str">
        <x:v>Trading NVAX Novavax Stock 5-26-20 | Best Stock Picks Today</x:v>
      </x:c>
      <x:c r="C154" s="14" t="d">
        <x:v>2020-05-26T00:00:00.000Z</x:v>
      </x:c>
      <x:c r="D154" s="18" t="e">
        <x:f>HYPERLINK("https://www.youtube.com/watch?v=CgbzpyJto_w","Watch video")</x:f>
        <x:v>HYPERLINK is not implemented. linkLocation=https://www.youtube.com/watch?v=CgbzpyJto_w, friendlyName=Watch video</x:v>
      </x:c>
      <x:c r="E154" s="18" t="e">
        <x:f>HYPERLINK("transcripts/CgbzpyJto_w.html","Complete transcript")</x:f>
        <x:v>HYPERLINK is not implemented. linkLocation=transcripts/CgbzpyJto_w.html, friendlyName=Complete transcript</x:v>
      </x:c>
      <x:c r="F154" s="13" t="str">
        <x:v>UNKNOWN_REQUIRES_REVIEW</x:v>
      </x:c>
      <x:c r="G154" s="17" t="str">
        <x:v>UNREVIEWED</x:v>
      </x:c>
      <x:c r="H154" s="17" t="str"/>
      <x:c r="I154" s="17" t="str"/>
      <x:c r="J154" s="17" t="str"/>
      <x:c r="K154" s="17" t="str"/>
      <x:c r="L154" s="17" t="str"/>
      <x:c r="M154" s="17" t="str">
        <x:v>PENDING WHOLE-VIDEO REVIEW</x:v>
      </x:c>
      <x:c r="N154" s="15" t="n">
        <x:v>373</x:v>
      </x:c>
      <x:c r="O154" s="15" t="n">
        <x:v>2667</x:v>
      </x:c>
      <x:c r="P154" s="15" t="n">
        <x:v>761</x:v>
      </x:c>
      <x:c r="Q154" s="13" t="str">
        <x:v>NO_LARGE_TAIL_GAP</x:v>
      </x:c>
      <x:c r="R154" s="13" t="str"/>
      <x:c r="S154" s="16" t="n">
        <x:v>0</x:v>
      </x:c>
      <x:c r="T154" s="13" t="str">
        <x:v>cd1099e68728774f256b870ba999662b1f7307788e0f6fdc3aa7a1edb919607b</x:v>
      </x:c>
    </x:row>
    <x:row r="155" ht="15" hidden="0" customHeight="1">
      <x:c r="A155" s="13" t="str">
        <x:v>ClJjsXBBr6o</x:v>
      </x:c>
      <x:c r="B155" s="13" t="str">
        <x:v>Stocks for Breakfast 2.18.20 | Trading NFLX Netflix Inc</x:v>
      </x:c>
      <x:c r="C155" s="14" t="d">
        <x:v>2020-02-18T00:00:00.000Z</x:v>
      </x:c>
      <x:c r="D155" s="18" t="e">
        <x:f>HYPERLINK("https://www.youtube.com/watch?v=ClJjsXBBr6o","Watch video")</x:f>
        <x:v>HYPERLINK is not implemented. linkLocation=https://www.youtube.com/watch?v=ClJjsXBBr6o, friendlyName=Watch video</x:v>
      </x:c>
      <x:c r="E155" s="18" t="e">
        <x:f>HYPERLINK("transcripts/ClJjsXBBr6o.html","Complete transcript")</x:f>
        <x:v>HYPERLINK is not implemented. linkLocation=transcripts/ClJjsXBBr6o.html, friendlyName=Complete transcript</x:v>
      </x:c>
      <x:c r="F155" s="13" t="str">
        <x:v>PETE_EXPLICIT</x:v>
      </x:c>
      <x:c r="G155" s="17" t="str">
        <x:v>UNREVIEWED</x:v>
      </x:c>
      <x:c r="H155" s="17" t="str"/>
      <x:c r="I155" s="17" t="str"/>
      <x:c r="J155" s="17" t="str"/>
      <x:c r="K155" s="17" t="str"/>
      <x:c r="L155" s="17" t="str"/>
      <x:c r="M155" s="17" t="str">
        <x:v>PENDING WHOLE-VIDEO REVIEW</x:v>
      </x:c>
      <x:c r="N155" s="15" t="n">
        <x:v>189</x:v>
      </x:c>
      <x:c r="O155" s="15" t="n">
        <x:v>1373</x:v>
      </x:c>
      <x:c r="P155" s="15" t="n">
        <x:v>406</x:v>
      </x:c>
      <x:c r="Q155" s="13" t="str">
        <x:v>NO_LARGE_TAIL_GAP</x:v>
      </x:c>
      <x:c r="R155" s="13" t="str"/>
      <x:c r="S155" s="16" t="n">
        <x:v>0</x:v>
      </x:c>
      <x:c r="T155" s="13" t="str">
        <x:v>002748ee1590c8606c126cbb46a03b9a6bef0ba6060078a4f606a4ba63d7e47e</x:v>
      </x:c>
    </x:row>
    <x:row r="156" ht="15" hidden="0" customHeight="1">
      <x:c r="A156" s="13" t="str">
        <x:v>CmgGIjXv75s</x:v>
      </x:c>
      <x:c r="B156" s="13" t="str">
        <x:v>How Experienced Traders  Stopped Losing Money</x:v>
      </x:c>
      <x:c r="C156" s="14" t="d">
        <x:v>2026-06-24T00:00:00.000Z</x:v>
      </x:c>
      <x:c r="D156" s="18" t="e">
        <x:f>HYPERLINK("https://www.youtube.com/watch?v=CmgGIjXv75s","Watch video")</x:f>
        <x:v>HYPERLINK is not implemented. linkLocation=https://www.youtube.com/watch?v=CmgGIjXv75s, friendlyName=Watch video</x:v>
      </x:c>
      <x:c r="E156" s="18" t="e">
        <x:f>HYPERLINK("transcripts/CmgGIjXv75s.html","Complete transcript")</x:f>
        <x:v>HYPERLINK is not implemented. linkLocation=transcripts/CmgGIjXv75s.html, friendlyName=Complete transcript</x:v>
      </x:c>
      <x:c r="F156" s="13" t="str">
        <x:v>UNKNOWN_REQUIRES_REVIEW</x:v>
      </x:c>
      <x:c r="G156" s="17" t="str">
        <x:v>UNREVIEWED</x:v>
      </x:c>
      <x:c r="H156" s="17" t="str"/>
      <x:c r="I156" s="17" t="str"/>
      <x:c r="J156" s="17" t="str"/>
      <x:c r="K156" s="17" t="str"/>
      <x:c r="L156" s="17" t="str"/>
      <x:c r="M156" s="17" t="str">
        <x:v>PENDING WHOLE-VIDEO REVIEW</x:v>
      </x:c>
      <x:c r="N156" s="15" t="n">
        <x:v>285</x:v>
      </x:c>
      <x:c r="O156" s="15" t="n">
        <x:v>1788</x:v>
      </x:c>
      <x:c r="P156" s="15" t="n">
        <x:v>588</x:v>
      </x:c>
      <x:c r="Q156" s="13" t="str">
        <x:v>NO_LARGE_TAIL_GAP</x:v>
      </x:c>
      <x:c r="R156" s="13" t="str"/>
      <x:c r="S156" s="16" t="n">
        <x:v>0</x:v>
      </x:c>
      <x:c r="T156" s="13" t="str">
        <x:v>aebed212c014773fd40562932f93b7b26f2248564125123a35217856ba90251f</x:v>
      </x:c>
    </x:row>
    <x:row r="157" ht="15" hidden="0" customHeight="1">
      <x:c r="A157" s="13" t="str">
        <x:v>CnBvimWjCc4</x:v>
      </x:c>
      <x:c r="B157" s="13" t="str">
        <x:v>Stocks to Buy Now in 2021</x:v>
      </x:c>
      <x:c r="C157" s="14" t="d">
        <x:v>2021-02-16T00:00:00.000Z</x:v>
      </x:c>
      <x:c r="D157" s="18" t="e">
        <x:f>HYPERLINK("https://www.youtube.com/watch?v=CnBvimWjCc4","Watch video")</x:f>
        <x:v>HYPERLINK is not implemented. linkLocation=https://www.youtube.com/watch?v=CnBvimWjCc4, friendlyName=Watch video</x:v>
      </x:c>
      <x:c r="E157" s="18" t="e">
        <x:f>HYPERLINK("transcripts/CnBvimWjCc4.html","Complete transcript")</x:f>
        <x:v>HYPERLINK is not implemented. linkLocation=transcripts/CnBvimWjCc4.html, friendlyName=Complete transcript</x:v>
      </x:c>
      <x:c r="F157" s="13" t="str">
        <x:v>PETE_EXPLICIT</x:v>
      </x:c>
      <x:c r="G157" s="17" t="str">
        <x:v>UNREVIEWED</x:v>
      </x:c>
      <x:c r="H157" s="17" t="str"/>
      <x:c r="I157" s="17" t="str"/>
      <x:c r="J157" s="17" t="str"/>
      <x:c r="K157" s="17" t="str"/>
      <x:c r="L157" s="17" t="str"/>
      <x:c r="M157" s="17" t="str">
        <x:v>PENDING WHOLE-VIDEO REVIEW</x:v>
      </x:c>
      <x:c r="N157" s="15" t="n">
        <x:v>782</x:v>
      </x:c>
      <x:c r="O157" s="15" t="n">
        <x:v>4917</x:v>
      </x:c>
      <x:c r="P157" s="15" t="n">
        <x:v>1396</x:v>
      </x:c>
      <x:c r="Q157" s="13" t="str">
        <x:v>NO_LARGE_TAIL_GAP</x:v>
      </x:c>
      <x:c r="R157" s="13" t="str"/>
      <x:c r="S157" s="16" t="n">
        <x:v>0</x:v>
      </x:c>
      <x:c r="T157" s="13" t="str">
        <x:v>a4c5b5592b1f4ff647e10a4a7c81b76e4a98af3f8af20b8078f04c8dc0e57019</x:v>
      </x:c>
    </x:row>
    <x:row r="158" ht="15" hidden="0" customHeight="1">
      <x:c r="A158" s="13" t="str">
        <x:v>Coi5f7kTr_0</x:v>
      </x:c>
      <x:c r="B158" s="13" t="str">
        <x:v>How To Day Trade The Right Stocks | Day Trading Strategy</x:v>
      </x:c>
      <x:c r="C158" s="14" t="d">
        <x:v>2020-07-10T00:00:00.000Z</x:v>
      </x:c>
      <x:c r="D158" s="18" t="e">
        <x:f>HYPERLINK("https://www.youtube.com/watch?v=Coi5f7kTr_0","Watch video")</x:f>
        <x:v>HYPERLINK is not implemented. linkLocation=https://www.youtube.com/watch?v=Coi5f7kTr_0, friendlyName=Watch video</x:v>
      </x:c>
      <x:c r="E158" s="18" t="e">
        <x:f>HYPERLINK("transcripts/Coi5f7kTr_0.html","Complete transcript")</x:f>
        <x:v>HYPERLINK is not implemented. linkLocation=transcripts/Coi5f7kTr_0.html, friendlyName=Complete transcript</x:v>
      </x:c>
      <x:c r="F158" s="13" t="str">
        <x:v>UNKNOWN_REQUIRES_REVIEW</x:v>
      </x:c>
      <x:c r="G158" s="17" t="str">
        <x:v>UNREVIEWED</x:v>
      </x:c>
      <x:c r="H158" s="17" t="str"/>
      <x:c r="I158" s="17" t="str"/>
      <x:c r="J158" s="17" t="str"/>
      <x:c r="K158" s="17" t="str"/>
      <x:c r="L158" s="17" t="str"/>
      <x:c r="M158" s="17" t="str">
        <x:v>PENDING WHOLE-VIDEO REVIEW</x:v>
      </x:c>
      <x:c r="N158" s="15" t="n">
        <x:v>385</x:v>
      </x:c>
      <x:c r="O158" s="15" t="n">
        <x:v>2845</x:v>
      </x:c>
      <x:c r="P158" s="15" t="n">
        <x:v>898</x:v>
      </x:c>
      <x:c r="Q158" s="13" t="str">
        <x:v>NO_LARGE_TAIL_GAP</x:v>
      </x:c>
      <x:c r="R158" s="13" t="str"/>
      <x:c r="S158" s="16" t="n">
        <x:v>0</x:v>
      </x:c>
      <x:c r="T158" s="13" t="str">
        <x:v>47e9d5f6c7421426953f493daabbde921b4132b8eb802e0c29aadf03a24cd1bc</x:v>
      </x:c>
    </x:row>
    <x:row r="159" ht="15" hidden="0" customHeight="1">
      <x:c r="A159" s="13" t="str">
        <x:v>CuFn0nVqDhE</x:v>
      </x:c>
      <x:c r="B159" s="13" t="str">
        <x:v>How to Trade Sector Rotation When the S&amp;P 500 Goes Nowhere</x:v>
      </x:c>
      <x:c r="C159" s="14" t="d">
        <x:v>2026-02-28T00:00:00.000Z</x:v>
      </x:c>
      <x:c r="D159" s="18" t="e">
        <x:f>HYPERLINK("https://www.youtube.com/watch?v=CuFn0nVqDhE","Watch video")</x:f>
        <x:v>HYPERLINK is not implemented. linkLocation=https://www.youtube.com/watch?v=CuFn0nVqDhE, friendlyName=Watch video</x:v>
      </x:c>
      <x:c r="E159" s="18" t="e">
        <x:f>HYPERLINK("transcripts/CuFn0nVqDhE.html","Complete transcript")</x:f>
        <x:v>HYPERLINK is not implemented. linkLocation=transcripts/CuFn0nVqDhE.html, friendlyName=Complete transcript</x:v>
      </x:c>
      <x:c r="F159" s="13" t="str">
        <x:v>PETE_EXPLICIT</x:v>
      </x:c>
      <x:c r="G159" s="17" t="str">
        <x:v>UNREVIEWED</x:v>
      </x:c>
      <x:c r="H159" s="17" t="str"/>
      <x:c r="I159" s="17" t="str"/>
      <x:c r="J159" s="17" t="str"/>
      <x:c r="K159" s="17" t="str"/>
      <x:c r="L159" s="17" t="str"/>
      <x:c r="M159" s="17" t="str">
        <x:v>PENDING WHOLE-VIDEO REVIEW</x:v>
      </x:c>
      <x:c r="N159" s="15" t="n">
        <x:v>2082</x:v>
      </x:c>
      <x:c r="O159" s="15" t="n">
        <x:v>14594</x:v>
      </x:c>
      <x:c r="P159" s="15" t="n">
        <x:v>4355</x:v>
      </x:c>
      <x:c r="Q159" s="13" t="str">
        <x:v>NO_LARGE_TAIL_GAP</x:v>
      </x:c>
      <x:c r="R159" s="13" t="str"/>
      <x:c r="S159" s="16" t="n">
        <x:v>0</x:v>
      </x:c>
      <x:c r="T159" s="13" t="str">
        <x:v>5d164a024fafb66155d79fb1d226a5749fb1275c8aab6dff2464ac10ce507260</x:v>
      </x:c>
    </x:row>
    <x:row r="160" ht="15" hidden="0" customHeight="1">
      <x:c r="A160" s="13" t="str">
        <x:v>CxK2ZZeI5Ic</x:v>
      </x:c>
      <x:c r="B160" s="13" t="str">
        <x:v>Best Stock Picks Today | NVDA Earnings 8-20-20</x:v>
      </x:c>
      <x:c r="C160" s="14" t="d">
        <x:v>2020-08-20T00:00:00.000Z</x:v>
      </x:c>
      <x:c r="D160" s="18" t="e">
        <x:f>HYPERLINK("https://www.youtube.com/watch?v=CxK2ZZeI5Ic","Watch video")</x:f>
        <x:v>HYPERLINK is not implemented. linkLocation=https://www.youtube.com/watch?v=CxK2ZZeI5Ic, friendlyName=Watch video</x:v>
      </x:c>
      <x:c r="E160" s="18" t="e">
        <x:f>HYPERLINK("transcripts/CxK2ZZeI5Ic.html","Complete transcript")</x:f>
        <x:v>HYPERLINK is not implemented. linkLocation=transcripts/CxK2ZZeI5Ic.html, friendlyName=Complete transcript</x:v>
      </x:c>
      <x:c r="F160" s="13" t="str">
        <x:v>PETE_EXPLICIT</x:v>
      </x:c>
      <x:c r="G160" s="17" t="str">
        <x:v>UNREVIEWED</x:v>
      </x:c>
      <x:c r="H160" s="17" t="str"/>
      <x:c r="I160" s="17" t="str"/>
      <x:c r="J160" s="17" t="str"/>
      <x:c r="K160" s="17" t="str"/>
      <x:c r="L160" s="17" t="str"/>
      <x:c r="M160" s="17" t="str">
        <x:v>PENDING WHOLE-VIDEO REVIEW</x:v>
      </x:c>
      <x:c r="N160" s="15" t="n">
        <x:v>426</x:v>
      </x:c>
      <x:c r="O160" s="15" t="n">
        <x:v>2703</x:v>
      </x:c>
      <x:c r="P160" s="15" t="n">
        <x:v>757</x:v>
      </x:c>
      <x:c r="Q160" s="13" t="str">
        <x:v>NO_LARGE_TAIL_GAP</x:v>
      </x:c>
      <x:c r="R160" s="13" t="str"/>
      <x:c r="S160" s="16" t="n">
        <x:v>0</x:v>
      </x:c>
      <x:c r="T160" s="13" t="str">
        <x:v>5cb3a20deb1b391138deefe53d2713c6a9bd8aed4f38072638d07892d19969c2</x:v>
      </x:c>
    </x:row>
    <x:row r="161" ht="15" hidden="0" customHeight="1">
      <x:c r="A161" s="13" t="str">
        <x:v>CykIawryqmo</x:v>
      </x:c>
      <x:c r="B161" s="13" t="str">
        <x:v>AAPL Apple Inc Earnings 7-30-20 | Best Stock Picks Today</x:v>
      </x:c>
      <x:c r="C161" s="14" t="d">
        <x:v>2020-07-30T00:00:00.000Z</x:v>
      </x:c>
      <x:c r="D161" s="18" t="e">
        <x:f>HYPERLINK("https://www.youtube.com/watch?v=CykIawryqmo","Watch video")</x:f>
        <x:v>HYPERLINK is not implemented. linkLocation=https://www.youtube.com/watch?v=CykIawryqmo, friendlyName=Watch video</x:v>
      </x:c>
      <x:c r="E161" s="18" t="e">
        <x:f>HYPERLINK("transcripts/CykIawryqmo.html","Complete transcript")</x:f>
        <x:v>HYPERLINK is not implemented. linkLocation=transcripts/CykIawryqmo.html, friendlyName=Complete transcript</x:v>
      </x:c>
      <x:c r="F161" s="13" t="str">
        <x:v>PETE_EXPLICIT</x:v>
      </x:c>
      <x:c r="G161" s="17" t="str">
        <x:v>UNREVIEWED</x:v>
      </x:c>
      <x:c r="H161" s="17" t="str"/>
      <x:c r="I161" s="17" t="str"/>
      <x:c r="J161" s="17" t="str"/>
      <x:c r="K161" s="17" t="str"/>
      <x:c r="L161" s="17" t="str"/>
      <x:c r="M161" s="17" t="str">
        <x:v>PENDING WHOLE-VIDEO REVIEW</x:v>
      </x:c>
      <x:c r="N161" s="15" t="n">
        <x:v>512</x:v>
      </x:c>
      <x:c r="O161" s="15" t="n">
        <x:v>3222</x:v>
      </x:c>
      <x:c r="P161" s="15" t="n">
        <x:v>894</x:v>
      </x:c>
      <x:c r="Q161" s="13" t="str">
        <x:v>NO_LARGE_TAIL_GAP</x:v>
      </x:c>
      <x:c r="R161" s="13" t="str"/>
      <x:c r="S161" s="16" t="n">
        <x:v>0</x:v>
      </x:c>
      <x:c r="T161" s="13" t="str">
        <x:v>f860fa7273c45607d305b49278b7f9b8b3c809d200a327d020b60346ee50f241</x:v>
      </x:c>
    </x:row>
    <x:row r="162" ht="15" hidden="0" customHeight="1">
      <x:c r="A162" s="13" t="str">
        <x:v>D-4w49BHlYo</x:v>
      </x:c>
      <x:c r="B162" s="13" t="str">
        <x:v>3 Hidden Benefits of Cash Secured Puts vs Covered Calls</x:v>
      </x:c>
      <x:c r="C162" s="14" t="d">
        <x:v>2025-01-21T00:00:00.000Z</x:v>
      </x:c>
      <x:c r="D162" s="18" t="e">
        <x:f>HYPERLINK("https://www.youtube.com/watch?v=D-4w49BHlYo","Watch video")</x:f>
        <x:v>HYPERLINK is not implemented. linkLocation=https://www.youtube.com/watch?v=D-4w49BHlYo, friendlyName=Watch video</x:v>
      </x:c>
      <x:c r="E162" s="18" t="e">
        <x:f>HYPERLINK("transcripts/D-4w49BHlYo.html","Complete transcript")</x:f>
        <x:v>HYPERLINK is not implemented. linkLocation=transcripts/D-4w49BHlYo.html, friendlyName=Complete transcript</x:v>
      </x:c>
      <x:c r="F162" s="13" t="str">
        <x:v>PETE_EXPLICIT</x:v>
      </x:c>
      <x:c r="G162" s="17" t="str">
        <x:v>UNREVIEWED</x:v>
      </x:c>
      <x:c r="H162" s="17" t="str"/>
      <x:c r="I162" s="17" t="str"/>
      <x:c r="J162" s="17" t="str"/>
      <x:c r="K162" s="17" t="str"/>
      <x:c r="L162" s="17" t="str"/>
      <x:c r="M162" s="17" t="str">
        <x:v>PENDING WHOLE-VIDEO REVIEW</x:v>
      </x:c>
      <x:c r="N162" s="15" t="n">
        <x:v>227</x:v>
      </x:c>
      <x:c r="O162" s="15" t="n">
        <x:v>1729</x:v>
      </x:c>
      <x:c r="P162" s="15" t="n">
        <x:v>568</x:v>
      </x:c>
      <x:c r="Q162" s="13" t="str">
        <x:v>NO_LARGE_TAIL_GAP</x:v>
      </x:c>
      <x:c r="R162" s="13" t="str"/>
      <x:c r="S162" s="16" t="n">
        <x:v>0</x:v>
      </x:c>
      <x:c r="T162" s="13" t="str">
        <x:v>0025b4486f3ee114f05091175a70d7863588f44506af1c87af9d758da8afd857</x:v>
      </x:c>
    </x:row>
    <x:row r="163" ht="15" hidden="0" customHeight="1">
      <x:c r="A163" s="13" t="str">
        <x:v>D7-GOM7ULTE</x:v>
      </x:c>
      <x:c r="B163" s="13" t="str">
        <x:v>5: Position Sizing Formula For Stocks</x:v>
      </x:c>
      <x:c r="C163" s="14" t="d">
        <x:v>2022-11-01T00:00:00.000Z</x:v>
      </x:c>
      <x:c r="D163" s="18" t="e">
        <x:f>HYPERLINK("https://www.youtube.com/watch?v=D7-GOM7ULTE","Watch video")</x:f>
        <x:v>HYPERLINK is not implemented. linkLocation=https://www.youtube.com/watch?v=D7-GOM7ULTE, friendlyName=Watch video</x:v>
      </x:c>
      <x:c r="E163" s="18" t="e">
        <x:f>HYPERLINK("transcripts/D7-GOM7ULTE.html","Complete transcript")</x:f>
        <x:v>HYPERLINK is not implemented. linkLocation=transcripts/D7-GOM7ULTE.html, friendlyName=Complete transcript</x:v>
      </x:c>
      <x:c r="F163" s="13" t="str">
        <x:v>UNKNOWN_REQUIRES_REVIEW</x:v>
      </x:c>
      <x:c r="G163" s="17" t="str">
        <x:v>UNREVIEWED</x:v>
      </x:c>
      <x:c r="H163" s="17" t="str"/>
      <x:c r="I163" s="17" t="str"/>
      <x:c r="J163" s="17" t="str"/>
      <x:c r="K163" s="17" t="str"/>
      <x:c r="L163" s="17" t="str"/>
      <x:c r="M163" s="17" t="str">
        <x:v>PENDING WHOLE-VIDEO REVIEW</x:v>
      </x:c>
      <x:c r="N163" s="15" t="n">
        <x:v>45</x:v>
      </x:c>
      <x:c r="O163" s="15" t="n">
        <x:v>310</x:v>
      </x:c>
      <x:c r="P163" s="15" t="n">
        <x:v>95</x:v>
      </x:c>
      <x:c r="Q163" s="13" t="str">
        <x:v>NO_LARGE_TAIL_GAP</x:v>
      </x:c>
      <x:c r="R163" s="13" t="str"/>
      <x:c r="S163" s="16" t="n">
        <x:v>0</x:v>
      </x:c>
      <x:c r="T163" s="13" t="str">
        <x:v>16c1e0d5831426ae83888a9141c5d415426037d930f0ed9d549a254cdbeb061b</x:v>
      </x:c>
    </x:row>
    <x:row r="164" ht="15" hidden="0" customHeight="1">
      <x:c r="A164" s="13" t="str">
        <x:v>DAonFApB0GA</x:v>
      </x:c>
      <x:c r="B164" s="13" t="str">
        <x:v>UBER EARNINGS TRADE | Best Stock Picks Today 2-10-20</x:v>
      </x:c>
      <x:c r="C164" s="14" t="d">
        <x:v>2021-02-10T00:00:00.000Z</x:v>
      </x:c>
      <x:c r="D164" s="18" t="e">
        <x:f>HYPERLINK("https://www.youtube.com/watch?v=DAonFApB0GA","Watch video")</x:f>
        <x:v>HYPERLINK is not implemented. linkLocation=https://www.youtube.com/watch?v=DAonFApB0GA, friendlyName=Watch video</x:v>
      </x:c>
      <x:c r="E164" s="18" t="e">
        <x:f>HYPERLINK("transcripts/DAonFApB0GA.html","Complete transcript")</x:f>
        <x:v>HYPERLINK is not implemented. linkLocation=transcripts/DAonFApB0GA.html, friendlyName=Complete transcript</x:v>
      </x:c>
      <x:c r="F164" s="13" t="str">
        <x:v>PETE_EXPLICIT</x:v>
      </x:c>
      <x:c r="G164" s="17" t="str">
        <x:v>UNREVIEWED</x:v>
      </x:c>
      <x:c r="H164" s="17" t="str"/>
      <x:c r="I164" s="17" t="str"/>
      <x:c r="J164" s="17" t="str"/>
      <x:c r="K164" s="17" t="str"/>
      <x:c r="L164" s="17" t="str"/>
      <x:c r="M164" s="17" t="str">
        <x:v>PENDING WHOLE-VIDEO REVIEW</x:v>
      </x:c>
      <x:c r="N164" s="15" t="n">
        <x:v>245</x:v>
      </x:c>
      <x:c r="O164" s="15" t="n">
        <x:v>1514</x:v>
      </x:c>
      <x:c r="P164" s="15" t="n">
        <x:v>424</x:v>
      </x:c>
      <x:c r="Q164" s="13" t="str">
        <x:v>NO_LARGE_TAIL_GAP</x:v>
      </x:c>
      <x:c r="R164" s="13" t="str"/>
      <x:c r="S164" s="16" t="n">
        <x:v>0</x:v>
      </x:c>
      <x:c r="T164" s="13" t="str">
        <x:v>b5681cf38e601e8dab8fab62a6409468aeddab1b085cdad9343d8b5cee190296</x:v>
      </x:c>
    </x:row>
    <x:row r="165" ht="15" hidden="0" customHeight="1">
      <x:c r="A165" s="13" t="str">
        <x:v>DBTAsRiKYvE</x:v>
      </x:c>
      <x:c r="B165" s="13" t="str">
        <x:v>BYND Stock 8520 Best Stock Picks Today</x:v>
      </x:c>
      <x:c r="C165" s="14" t="d">
        <x:v>2020-08-05T00:00:00.000Z</x:v>
      </x:c>
      <x:c r="D165" s="18" t="e">
        <x:f>HYPERLINK("https://www.youtube.com/watch?v=DBTAsRiKYvE","Watch video")</x:f>
        <x:v>HYPERLINK is not implemented. linkLocation=https://www.youtube.com/watch?v=DBTAsRiKYvE, friendlyName=Watch video</x:v>
      </x:c>
      <x:c r="E165" s="18" t="e">
        <x:f>HYPERLINK("transcripts/DBTAsRiKYvE.html","Complete transcript")</x:f>
        <x:v>HYPERLINK is not implemented. linkLocation=transcripts/DBTAsRiKYvE.html, friendlyName=Complete transcript</x:v>
      </x:c>
      <x:c r="F165" s="13" t="str">
        <x:v>PETE_EXPLICIT</x:v>
      </x:c>
      <x:c r="G165" s="17" t="str">
        <x:v>UNREVIEWED</x:v>
      </x:c>
      <x:c r="H165" s="17" t="str"/>
      <x:c r="I165" s="17" t="str"/>
      <x:c r="J165" s="17" t="str"/>
      <x:c r="K165" s="17" t="str"/>
      <x:c r="L165" s="17" t="str"/>
      <x:c r="M165" s="17" t="str">
        <x:v>PENDING WHOLE-VIDEO REVIEW</x:v>
      </x:c>
      <x:c r="N165" s="15" t="n">
        <x:v>527</x:v>
      </x:c>
      <x:c r="O165" s="15" t="n">
        <x:v>3375</x:v>
      </x:c>
      <x:c r="P165" s="15" t="n">
        <x:v>923</x:v>
      </x:c>
      <x:c r="Q165" s="13" t="str">
        <x:v>NO_LARGE_TAIL_GAP</x:v>
      </x:c>
      <x:c r="R165" s="13" t="str"/>
      <x:c r="S165" s="16" t="n">
        <x:v>0</x:v>
      </x:c>
      <x:c r="T165" s="13" t="str">
        <x:v>13f5377496c8cd24ee8691978c31178e9add727c0dc0a5ee3d5d6b213ac7cc6c</x:v>
      </x:c>
    </x:row>
    <x:row r="166" ht="15" hidden="0" customHeight="1">
      <x:c r="A166" s="13" t="str">
        <x:v>DCo__jKihdA</x:v>
      </x:c>
      <x:c r="B166" s="13" t="str">
        <x:v>Best Stock Picks Today | DKNG Stock 9-15-20</x:v>
      </x:c>
      <x:c r="C166" s="14" t="d">
        <x:v>2020-09-15T00:00:00.000Z</x:v>
      </x:c>
      <x:c r="D166" s="18" t="e">
        <x:f>HYPERLINK("https://www.youtube.com/watch?v=DCo__jKihdA","Watch video")</x:f>
        <x:v>HYPERLINK is not implemented. linkLocation=https://www.youtube.com/watch?v=DCo__jKihdA, friendlyName=Watch video</x:v>
      </x:c>
      <x:c r="E166" s="18" t="e">
        <x:f>HYPERLINK("transcripts/DCo__jKihdA.html","Complete transcript")</x:f>
        <x:v>HYPERLINK is not implemented. linkLocation=transcripts/DCo__jKihdA.html, friendlyName=Complete transcript</x:v>
      </x:c>
      <x:c r="F166" s="13" t="str">
        <x:v>PETE_EXPLICIT</x:v>
      </x:c>
      <x:c r="G166" s="17" t="str">
        <x:v>UNREVIEWED</x:v>
      </x:c>
      <x:c r="H166" s="17" t="str"/>
      <x:c r="I166" s="17" t="str"/>
      <x:c r="J166" s="17" t="str"/>
      <x:c r="K166" s="17" t="str"/>
      <x:c r="L166" s="17" t="str"/>
      <x:c r="M166" s="17" t="str">
        <x:v>PENDING WHOLE-VIDEO REVIEW</x:v>
      </x:c>
      <x:c r="N166" s="15" t="n">
        <x:v>372</x:v>
      </x:c>
      <x:c r="O166" s="15" t="n">
        <x:v>2300</x:v>
      </x:c>
      <x:c r="P166" s="15" t="n">
        <x:v>670</x:v>
      </x:c>
      <x:c r="Q166" s="13" t="str">
        <x:v>NO_LARGE_TAIL_GAP</x:v>
      </x:c>
      <x:c r="R166" s="13" t="str"/>
      <x:c r="S166" s="16" t="n">
        <x:v>0</x:v>
      </x:c>
      <x:c r="T166" s="13" t="str">
        <x:v>2b51c64290c5be1d156c802deee7796f8255692b2e3ddb026c42b511bce4106f</x:v>
      </x:c>
    </x:row>
    <x:row r="167" ht="15" hidden="0" customHeight="1">
      <x:c r="A167" s="13" t="str">
        <x:v>DE-ATZRPzM4</x:v>
      </x:c>
      <x:c r="B167" s="13" t="str">
        <x:v>Short Selling Stock Trading Strategy</x:v>
      </x:c>
      <x:c r="C167" s="14" t="d">
        <x:v>2021-03-03T00:00:00.000Z</x:v>
      </x:c>
      <x:c r="D167" s="18" t="e">
        <x:f>HYPERLINK("https://www.youtube.com/watch?v=DE-ATZRPzM4","Watch video")</x:f>
        <x:v>HYPERLINK is not implemented. linkLocation=https://www.youtube.com/watch?v=DE-ATZRPzM4, friendlyName=Watch video</x:v>
      </x:c>
      <x:c r="E167" s="18" t="e">
        <x:f>HYPERLINK("transcripts/DE-ATZRPzM4.html","Complete transcript")</x:f>
        <x:v>HYPERLINK is not implemented. linkLocation=transcripts/DE-ATZRPzM4.html, friendlyName=Complete transcript</x:v>
      </x:c>
      <x:c r="F167" s="13" t="str">
        <x:v>UNKNOWN_REQUIRES_REVIEW</x:v>
      </x:c>
      <x:c r="G167" s="17" t="str">
        <x:v>UNREVIEWED</x:v>
      </x:c>
      <x:c r="H167" s="17" t="str"/>
      <x:c r="I167" s="17" t="str"/>
      <x:c r="J167" s="17" t="str"/>
      <x:c r="K167" s="17" t="str"/>
      <x:c r="L167" s="17" t="str"/>
      <x:c r="M167" s="17" t="str">
        <x:v>PENDING WHOLE-VIDEO REVIEW</x:v>
      </x:c>
      <x:c r="N167" s="15" t="n">
        <x:v>600</x:v>
      </x:c>
      <x:c r="O167" s="15" t="n">
        <x:v>3704</x:v>
      </x:c>
      <x:c r="P167" s="15" t="n">
        <x:v>1158</x:v>
      </x:c>
      <x:c r="Q167" s="13" t="str">
        <x:v>NO_LARGE_TAIL_GAP</x:v>
      </x:c>
      <x:c r="R167" s="13" t="str"/>
      <x:c r="S167" s="16" t="n">
        <x:v>0</x:v>
      </x:c>
      <x:c r="T167" s="13" t="str">
        <x:v>9319600a85894fdba6d6e2ac5251feb841411119cd60ae2761156b295f2fa5dc</x:v>
      </x:c>
    </x:row>
    <x:row r="168" ht="15" hidden="0" customHeight="1">
      <x:c r="A168" s="13" t="str">
        <x:v>DPya7_PKFWU</x:v>
      </x:c>
      <x:c r="B168" s="13" t="str">
        <x:v>Sector Rotation - Best Stocks to Buy Now April 2022</x:v>
      </x:c>
      <x:c r="C168" s="14" t="d">
        <x:v>2022-04-03T00:00:00.000Z</x:v>
      </x:c>
      <x:c r="D168" s="18" t="e">
        <x:f>HYPERLINK("https://www.youtube.com/watch?v=DPya7_PKFWU","Watch video")</x:f>
        <x:v>HYPERLINK is not implemented. linkLocation=https://www.youtube.com/watch?v=DPya7_PKFWU, friendlyName=Watch video</x:v>
      </x:c>
      <x:c r="E168" s="18" t="e">
        <x:f>HYPERLINK("transcripts/DPya7_PKFWU.html","Complete transcript")</x:f>
        <x:v>HYPERLINK is not implemented. linkLocation=transcripts/DPya7_PKFWU.html, friendlyName=Complete transcript</x:v>
      </x:c>
      <x:c r="F168" s="13" t="str">
        <x:v>PETE_EXPLICIT</x:v>
      </x:c>
      <x:c r="G168" s="17" t="str">
        <x:v>UNREVIEWED</x:v>
      </x:c>
      <x:c r="H168" s="17" t="str"/>
      <x:c r="I168" s="17" t="str"/>
      <x:c r="J168" s="17" t="str"/>
      <x:c r="K168" s="17" t="str"/>
      <x:c r="L168" s="17" t="str"/>
      <x:c r="M168" s="17" t="str">
        <x:v>PENDING WHOLE-VIDEO REVIEW</x:v>
      </x:c>
      <x:c r="N168" s="15" t="n">
        <x:v>445</x:v>
      </x:c>
      <x:c r="O168" s="15" t="n">
        <x:v>2991</x:v>
      </x:c>
      <x:c r="P168" s="15" t="n">
        <x:v>870</x:v>
      </x:c>
      <x:c r="Q168" s="13" t="str">
        <x:v>NO_LARGE_TAIL_GAP</x:v>
      </x:c>
      <x:c r="R168" s="13" t="str"/>
      <x:c r="S168" s="16" t="n">
        <x:v>0</x:v>
      </x:c>
      <x:c r="T168" s="13" t="str">
        <x:v>a8e69874fea37d025a8ede6b8eccc3cf2904c655b48c2a7184fec53c7d7973a4</x:v>
      </x:c>
    </x:row>
    <x:row r="169" ht="15" hidden="0" customHeight="1">
      <x:c r="A169" s="13" t="str">
        <x:v>DZqFFfGc6kE</x:v>
      </x:c>
      <x:c r="B169" s="13" t="str">
        <x:v>Trading Facebook FB 5-21-20 | Best Stock Picks Today</x:v>
      </x:c>
      <x:c r="C169" s="14" t="d">
        <x:v>2020-05-21T00:00:00.000Z</x:v>
      </x:c>
      <x:c r="D169" s="18" t="e">
        <x:f>HYPERLINK("https://www.youtube.com/watch?v=DZqFFfGc6kE","Watch video")</x:f>
        <x:v>HYPERLINK is not implemented. linkLocation=https://www.youtube.com/watch?v=DZqFFfGc6kE, friendlyName=Watch video</x:v>
      </x:c>
      <x:c r="E169" s="18" t="e">
        <x:f>HYPERLINK("transcripts/DZqFFfGc6kE.html","Complete transcript")</x:f>
        <x:v>HYPERLINK is not implemented. linkLocation=transcripts/DZqFFfGc6kE.html, friendlyName=Complete transcript</x:v>
      </x:c>
      <x:c r="F169" s="13" t="str">
        <x:v>UNKNOWN_REQUIRES_REVIEW</x:v>
      </x:c>
      <x:c r="G169" s="17" t="str">
        <x:v>UNREVIEWED</x:v>
      </x:c>
      <x:c r="H169" s="17" t="str"/>
      <x:c r="I169" s="17" t="str"/>
      <x:c r="J169" s="17" t="str"/>
      <x:c r="K169" s="17" t="str"/>
      <x:c r="L169" s="17" t="str"/>
      <x:c r="M169" s="17" t="str">
        <x:v>PENDING WHOLE-VIDEO REVIEW</x:v>
      </x:c>
      <x:c r="N169" s="15" t="n">
        <x:v>303</x:v>
      </x:c>
      <x:c r="O169" s="15" t="n">
        <x:v>2190</x:v>
      </x:c>
      <x:c r="P169" s="15" t="n">
        <x:v>661</x:v>
      </x:c>
      <x:c r="Q169" s="13" t="str">
        <x:v>NO_LARGE_TAIL_GAP</x:v>
      </x:c>
      <x:c r="R169" s="13" t="str"/>
      <x:c r="S169" s="16" t="n">
        <x:v>0</x:v>
      </x:c>
      <x:c r="T169" s="13" t="str">
        <x:v>6164a3a3e6bae516c7e285a90bf26abfe0d62f03bc5c76bbaff136bb160d07a5</x:v>
      </x:c>
    </x:row>
    <x:row r="170" ht="15" hidden="0" customHeight="1">
      <x:c r="A170" s="13" t="str">
        <x:v>DeCg3ynAzhs</x:v>
      </x:c>
      <x:c r="B170" s="13" t="str">
        <x:v>Stocks To Watch: Is A Bearish Reversal for EQT Forming?</x:v>
      </x:c>
      <x:c r="C170" s="14" t="d">
        <x:v>2023-03-03T00:00:00.000Z</x:v>
      </x:c>
      <x:c r="D170" s="18" t="e">
        <x:f>HYPERLINK("https://www.youtube.com/watch?v=DeCg3ynAzhs","Watch video")</x:f>
        <x:v>HYPERLINK is not implemented. linkLocation=https://www.youtube.com/watch?v=DeCg3ynAzhs, friendlyName=Watch video</x:v>
      </x:c>
      <x:c r="E170" s="18" t="e">
        <x:f>HYPERLINK("transcripts/DeCg3ynAzhs.html","Complete transcript")</x:f>
        <x:v>HYPERLINK is not implemented. linkLocation=transcripts/DeCg3ynAzhs.html, friendlyName=Complete transcript</x:v>
      </x:c>
      <x:c r="F170" s="13" t="str">
        <x:v>UNKNOWN_REQUIRES_REVIEW</x:v>
      </x:c>
      <x:c r="G170" s="17" t="str">
        <x:v>UNREVIEWED</x:v>
      </x:c>
      <x:c r="H170" s="17" t="str"/>
      <x:c r="I170" s="17" t="str"/>
      <x:c r="J170" s="17" t="str"/>
      <x:c r="K170" s="17" t="str"/>
      <x:c r="L170" s="17" t="str"/>
      <x:c r="M170" s="17" t="str">
        <x:v>PENDING WHOLE-VIDEO REVIEW</x:v>
      </x:c>
      <x:c r="N170" s="15" t="n">
        <x:v>68</x:v>
      </x:c>
      <x:c r="O170" s="15" t="n">
        <x:v>505</x:v>
      </x:c>
      <x:c r="P170" s="15" t="n">
        <x:v>148</x:v>
      </x:c>
      <x:c r="Q170" s="13" t="str">
        <x:v>NO_LARGE_TAIL_GAP</x:v>
      </x:c>
      <x:c r="R170" s="13" t="str"/>
      <x:c r="S170" s="16" t="n">
        <x:v>0</x:v>
      </x:c>
      <x:c r="T170" s="13" t="str">
        <x:v>f012bf8c321486c3c3eca39c0e2d012c19c8f6f991f68da40b831c1d7b01ee9a</x:v>
      </x:c>
    </x:row>
    <x:row r="171" ht="15" hidden="0" customHeight="1">
      <x:c r="A171" s="13" t="str">
        <x:v>Dmq7DVA4j60</x:v>
      </x:c>
      <x:c r="B171" s="13" t="str">
        <x:v>AZN Stock Covid-19 News | Best Stock Picks Today 7-20-20</x:v>
      </x:c>
      <x:c r="C171" s="14" t="d">
        <x:v>2020-07-20T00:00:00.000Z</x:v>
      </x:c>
      <x:c r="D171" s="18" t="e">
        <x:f>HYPERLINK("https://www.youtube.com/watch?v=Dmq7DVA4j60","Watch video")</x:f>
        <x:v>HYPERLINK is not implemented. linkLocation=https://www.youtube.com/watch?v=Dmq7DVA4j60, friendlyName=Watch video</x:v>
      </x:c>
      <x:c r="E171" s="18" t="e">
        <x:f>HYPERLINK("transcripts/Dmq7DVA4j60.html","Complete transcript")</x:f>
        <x:v>HYPERLINK is not implemented. linkLocation=transcripts/Dmq7DVA4j60.html, friendlyName=Complete transcript</x:v>
      </x:c>
      <x:c r="F171" s="13" t="str">
        <x:v>UNKNOWN_REQUIRES_REVIEW</x:v>
      </x:c>
      <x:c r="G171" s="17" t="str">
        <x:v>UNREVIEWED</x:v>
      </x:c>
      <x:c r="H171" s="17" t="str"/>
      <x:c r="I171" s="17" t="str"/>
      <x:c r="J171" s="17" t="str"/>
      <x:c r="K171" s="17" t="str"/>
      <x:c r="L171" s="17" t="str"/>
      <x:c r="M171" s="17" t="str">
        <x:v>PENDING WHOLE-VIDEO REVIEW</x:v>
      </x:c>
      <x:c r="N171" s="15" t="n">
        <x:v>461</x:v>
      </x:c>
      <x:c r="O171" s="15" t="n">
        <x:v>3335</x:v>
      </x:c>
      <x:c r="P171" s="15" t="n">
        <x:v>952</x:v>
      </x:c>
      <x:c r="Q171" s="13" t="str">
        <x:v>NO_LARGE_TAIL_GAP</x:v>
      </x:c>
      <x:c r="R171" s="13" t="str"/>
      <x:c r="S171" s="16" t="n">
        <x:v>0</x:v>
      </x:c>
      <x:c r="T171" s="13" t="str">
        <x:v>a306bfa1f1af35186dfe23a96f2b228938bd8dd2a1f49d7c6bdd26a0cef5bd01</x:v>
      </x:c>
    </x:row>
    <x:row r="172" ht="15" hidden="0" customHeight="1">
      <x:c r="A172" s="13" t="str">
        <x:v>DusAtrFiJoM</x:v>
      </x:c>
      <x:c r="B172" s="13" t="str">
        <x:v>Day Trading for a Living | 8-5-20 Stocks for Breakfast</x:v>
      </x:c>
      <x:c r="C172" s="14" t="d">
        <x:v>2020-08-05T00:00:00.000Z</x:v>
      </x:c>
      <x:c r="D172" s="18" t="e">
        <x:f>HYPERLINK("https://www.youtube.com/watch?v=DusAtrFiJoM","Watch video")</x:f>
        <x:v>HYPERLINK is not implemented. linkLocation=https://www.youtube.com/watch?v=DusAtrFiJoM, friendlyName=Watch video</x:v>
      </x:c>
      <x:c r="E172" s="18" t="e">
        <x:f>HYPERLINK("transcripts/DusAtrFiJoM.html","Complete transcript")</x:f>
        <x:v>HYPERLINK is not implemented. linkLocation=transcripts/DusAtrFiJoM.html, friendlyName=Complete transcript</x:v>
      </x:c>
      <x:c r="F172" s="13" t="str">
        <x:v>PETE_EXPLICIT</x:v>
      </x:c>
      <x:c r="G172" s="17" t="str">
        <x:v>UNREVIEWED</x:v>
      </x:c>
      <x:c r="H172" s="17" t="str"/>
      <x:c r="I172" s="17" t="str"/>
      <x:c r="J172" s="17" t="str"/>
      <x:c r="K172" s="17" t="str"/>
      <x:c r="L172" s="17" t="str"/>
      <x:c r="M172" s="17" t="str">
        <x:v>PENDING WHOLE-VIDEO REVIEW</x:v>
      </x:c>
      <x:c r="N172" s="15" t="n">
        <x:v>892</x:v>
      </x:c>
      <x:c r="O172" s="15" t="n">
        <x:v>5699</x:v>
      </x:c>
      <x:c r="P172" s="15" t="n">
        <x:v>1548</x:v>
      </x:c>
      <x:c r="Q172" s="13" t="str">
        <x:v>NO_LARGE_TAIL_GAP</x:v>
      </x:c>
      <x:c r="R172" s="13" t="str"/>
      <x:c r="S172" s="16" t="n">
        <x:v>0</x:v>
      </x:c>
      <x:c r="T172" s="13" t="str">
        <x:v>0573787548013ce9d3aca02c054b64c5e690c409d4e2ca8082bb74b82ed3264e</x:v>
      </x:c>
    </x:row>
    <x:row r="173" ht="15" hidden="0" customHeight="1">
      <x:c r="A173" s="13" t="str">
        <x:v>DvjleLGowXY</x:v>
      </x:c>
      <x:c r="B173" s="13" t="str">
        <x:v>Best Stock Picks Today | XPEV &amp;  NIO 1-4-21</x:v>
      </x:c>
      <x:c r="C173" s="14" t="d">
        <x:v>2021-01-04T00:00:00.000Z</x:v>
      </x:c>
      <x:c r="D173" s="18" t="e">
        <x:f>HYPERLINK("https://www.youtube.com/watch?v=DvjleLGowXY","Watch video")</x:f>
        <x:v>HYPERLINK is not implemented. linkLocation=https://www.youtube.com/watch?v=DvjleLGowXY, friendlyName=Watch video</x:v>
      </x:c>
      <x:c r="E173" s="18" t="e">
        <x:f>HYPERLINK("transcripts/DvjleLGowXY.html","Complete transcript")</x:f>
        <x:v>HYPERLINK is not implemented. linkLocation=transcripts/DvjleLGowXY.html, friendlyName=Complete transcript</x:v>
      </x:c>
      <x:c r="F173" s="13" t="str">
        <x:v>PETE_EXPLICIT</x:v>
      </x:c>
      <x:c r="G173" s="17" t="str">
        <x:v>UNREVIEWED</x:v>
      </x:c>
      <x:c r="H173" s="17" t="str"/>
      <x:c r="I173" s="17" t="str"/>
      <x:c r="J173" s="17" t="str"/>
      <x:c r="K173" s="17" t="str"/>
      <x:c r="L173" s="17" t="str"/>
      <x:c r="M173" s="17" t="str">
        <x:v>PENDING WHOLE-VIDEO REVIEW</x:v>
      </x:c>
      <x:c r="N173" s="15" t="n">
        <x:v>436</x:v>
      </x:c>
      <x:c r="O173" s="15" t="n">
        <x:v>2767</x:v>
      </x:c>
      <x:c r="P173" s="15" t="n">
        <x:v>782</x:v>
      </x:c>
      <x:c r="Q173" s="13" t="str">
        <x:v>NO_LARGE_TAIL_GAP</x:v>
      </x:c>
      <x:c r="R173" s="13" t="str"/>
      <x:c r="S173" s="16" t="n">
        <x:v>0</x:v>
      </x:c>
      <x:c r="T173" s="13" t="str">
        <x:v>c2602e5dfefd16647558fed0102e0482ec4e29c81d578c7b72463bec575df7da</x:v>
      </x:c>
    </x:row>
    <x:row r="174" ht="15" hidden="0" customHeight="1">
      <x:c r="A174" s="13" t="str">
        <x:v>DzgoOSgcSws</x:v>
      </x:c>
      <x:c r="B174" s="13" t="str">
        <x:v>How to Use Moving Averages | 4 1 20 Stocks for Breakfast</x:v>
      </x:c>
      <x:c r="C174" s="14" t="d">
        <x:v>2020-04-01T00:00:00.000Z</x:v>
      </x:c>
      <x:c r="D174" s="18" t="e">
        <x:f>HYPERLINK("https://www.youtube.com/watch?v=DzgoOSgcSws","Watch video")</x:f>
        <x:v>HYPERLINK is not implemented. linkLocation=https://www.youtube.com/watch?v=DzgoOSgcSws, friendlyName=Watch video</x:v>
      </x:c>
      <x:c r="E174" s="18" t="e">
        <x:f>HYPERLINK("transcripts/DzgoOSgcSws.html","Complete transcript")</x:f>
        <x:v>HYPERLINK is not implemented. linkLocation=transcripts/DzgoOSgcSws.html, friendlyName=Complete transcript</x:v>
      </x:c>
      <x:c r="F174" s="13" t="str">
        <x:v>UNKNOWN_REQUIRES_REVIEW</x:v>
      </x:c>
      <x:c r="G174" s="17" t="str">
        <x:v>UNREVIEWED</x:v>
      </x:c>
      <x:c r="H174" s="17" t="str"/>
      <x:c r="I174" s="17" t="str"/>
      <x:c r="J174" s="17" t="str"/>
      <x:c r="K174" s="17" t="str"/>
      <x:c r="L174" s="17" t="str"/>
      <x:c r="M174" s="17" t="str">
        <x:v>PENDING WHOLE-VIDEO REVIEW</x:v>
      </x:c>
      <x:c r="N174" s="15" t="n">
        <x:v>591</x:v>
      </x:c>
      <x:c r="O174" s="15" t="n">
        <x:v>4196</x:v>
      </x:c>
      <x:c r="P174" s="15" t="n">
        <x:v>1217</x:v>
      </x:c>
      <x:c r="Q174" s="13" t="str">
        <x:v>NO_LARGE_TAIL_GAP</x:v>
      </x:c>
      <x:c r="R174" s="13" t="str"/>
      <x:c r="S174" s="16" t="n">
        <x:v>0</x:v>
      </x:c>
      <x:c r="T174" s="13" t="str">
        <x:v>78b8cd994d71e9b0476ae9a522bc1cf38df9de60845967472c41b8c54c865e9d</x:v>
      </x:c>
    </x:row>
    <x:row r="175" ht="15" hidden="0" customHeight="1">
      <x:c r="A175" s="13" t="str">
        <x:v>E-OaFx4Z10o</x:v>
      </x:c>
      <x:c r="B175" s="13" t="str">
        <x:v>Stock for Breakfast 2 24 20 | Trading AAPL Apple Inc Coronavirus</x:v>
      </x:c>
      <x:c r="C175" s="14" t="d">
        <x:v>2020-02-24T00:00:00.000Z</x:v>
      </x:c>
      <x:c r="D175" s="18" t="e">
        <x:f>HYPERLINK("https://www.youtube.com/watch?v=E-OaFx4Z10o","Watch video")</x:f>
        <x:v>HYPERLINK is not implemented. linkLocation=https://www.youtube.com/watch?v=E-OaFx4Z10o, friendlyName=Watch video</x:v>
      </x:c>
      <x:c r="E175" s="18" t="e">
        <x:f>HYPERLINK("transcripts/E-OaFx4Z10o.html","Complete transcript")</x:f>
        <x:v>HYPERLINK is not implemented. linkLocation=transcripts/E-OaFx4Z10o.html, friendlyName=Complete transcript</x:v>
      </x:c>
      <x:c r="F175" s="13" t="str">
        <x:v>UNKNOWN_REQUIRES_REVIEW</x:v>
      </x:c>
      <x:c r="G175" s="17" t="str">
        <x:v>UNREVIEWED</x:v>
      </x:c>
      <x:c r="H175" s="17" t="str"/>
      <x:c r="I175" s="17" t="str"/>
      <x:c r="J175" s="17" t="str"/>
      <x:c r="K175" s="17" t="str"/>
      <x:c r="L175" s="17" t="str"/>
      <x:c r="M175" s="17" t="str">
        <x:v>PENDING WHOLE-VIDEO REVIEW</x:v>
      </x:c>
      <x:c r="N175" s="15" t="n">
        <x:v>623</x:v>
      </x:c>
      <x:c r="O175" s="15" t="n">
        <x:v>4474</x:v>
      </x:c>
      <x:c r="P175" s="15" t="n">
        <x:v>1367</x:v>
      </x:c>
      <x:c r="Q175" s="13" t="str">
        <x:v>NO_LARGE_TAIL_GAP</x:v>
      </x:c>
      <x:c r="R175" s="13" t="str"/>
      <x:c r="S175" s="16" t="n">
        <x:v>0</x:v>
      </x:c>
      <x:c r="T175" s="13" t="str">
        <x:v>5465af0d96a919a4c700bfbd9e82eda1470e29b16c231eca370e956986969923</x:v>
      </x:c>
    </x:row>
    <x:row r="176" ht="15" hidden="0" customHeight="1">
      <x:c r="A176" s="13" t="str">
        <x:v>E3JyGb2EuT4</x:v>
      </x:c>
      <x:c r="B176" s="13" t="str">
        <x:v>The Daily Ticker Podcast: EP6: David Trainer. A deeper look into the financials.</x:v>
      </x:c>
      <x:c r="C176" s="14" t="d">
        <x:v>2023-04-13T00:00:00.000Z</x:v>
      </x:c>
      <x:c r="D176" s="18" t="e">
        <x:f>HYPERLINK("https://www.youtube.com/watch?v=E3JyGb2EuT4","Watch video")</x:f>
        <x:v>HYPERLINK is not implemented. linkLocation=https://www.youtube.com/watch?v=E3JyGb2EuT4, friendlyName=Watch video</x:v>
      </x:c>
      <x:c r="E176" s="18" t="e">
        <x:f>HYPERLINK("transcripts/E3JyGb2EuT4.html","Complete transcript")</x:f>
        <x:v>HYPERLINK is not implemented. linkLocation=transcripts/E3JyGb2EuT4.html, friendlyName=Complete transcript</x:v>
      </x:c>
      <x:c r="F176" s="13" t="str">
        <x:v>GUEST_OR_INTERVIEW</x:v>
      </x:c>
      <x:c r="G176" s="17" t="str">
        <x:v>UNREVIEWED</x:v>
      </x:c>
      <x:c r="H176" s="17" t="str"/>
      <x:c r="I176" s="17" t="str"/>
      <x:c r="J176" s="17" t="str"/>
      <x:c r="K176" s="17" t="str"/>
      <x:c r="L176" s="17" t="str"/>
      <x:c r="M176" s="17" t="str">
        <x:v>PENDING WHOLE-VIDEO REVIEW</x:v>
      </x:c>
      <x:c r="N176" s="15" t="n">
        <x:v>1042</x:v>
      </x:c>
      <x:c r="O176" s="15" t="n">
        <x:v>6962</x:v>
      </x:c>
      <x:c r="P176" s="15" t="n">
        <x:v>2185</x:v>
      </x:c>
      <x:c r="Q176" s="13" t="str">
        <x:v>NO_LARGE_TAIL_GAP</x:v>
      </x:c>
      <x:c r="R176" s="13" t="str"/>
      <x:c r="S176" s="16" t="n">
        <x:v>0</x:v>
      </x:c>
      <x:c r="T176" s="13" t="str">
        <x:v>db677f3a278bfe62f3784eb5345c3c4adb5ae880b5b491213c754f97c6400d8b</x:v>
      </x:c>
    </x:row>
    <x:row r="177" ht="15" hidden="0" customHeight="1">
      <x:c r="A177" s="13" t="str">
        <x:v>E43TEEfltKs</x:v>
      </x:c>
      <x:c r="B177" s="13" t="str">
        <x:v>Best Stock Picks Today | FDX Earnings Trade 9-16-20</x:v>
      </x:c>
      <x:c r="C177" s="14" t="d">
        <x:v>2020-09-16T00:00:00.000Z</x:v>
      </x:c>
      <x:c r="D177" s="18" t="e">
        <x:f>HYPERLINK("https://www.youtube.com/watch?v=E43TEEfltKs","Watch video")</x:f>
        <x:v>HYPERLINK is not implemented. linkLocation=https://www.youtube.com/watch?v=E43TEEfltKs, friendlyName=Watch video</x:v>
      </x:c>
      <x:c r="E177" s="18" t="e">
        <x:f>HYPERLINK("transcripts/E43TEEfltKs.html","Complete transcript")</x:f>
        <x:v>HYPERLINK is not implemented. linkLocation=transcripts/E43TEEfltKs.html, friendlyName=Complete transcript</x:v>
      </x:c>
      <x:c r="F177" s="13" t="str">
        <x:v>PETE_EXPLICIT</x:v>
      </x:c>
      <x:c r="G177" s="17" t="str">
        <x:v>UNREVIEWED</x:v>
      </x:c>
      <x:c r="H177" s="17" t="str"/>
      <x:c r="I177" s="17" t="str"/>
      <x:c r="J177" s="17" t="str"/>
      <x:c r="K177" s="17" t="str"/>
      <x:c r="L177" s="17" t="str"/>
      <x:c r="M177" s="17" t="str">
        <x:v>PENDING WHOLE-VIDEO REVIEW</x:v>
      </x:c>
      <x:c r="N177" s="15" t="n">
        <x:v>297</x:v>
      </x:c>
      <x:c r="O177" s="15" t="n">
        <x:v>1864</x:v>
      </x:c>
      <x:c r="P177" s="15" t="n">
        <x:v>524</x:v>
      </x:c>
      <x:c r="Q177" s="13" t="str">
        <x:v>NO_LARGE_TAIL_GAP</x:v>
      </x:c>
      <x:c r="R177" s="13" t="str"/>
      <x:c r="S177" s="16" t="n">
        <x:v>0</x:v>
      </x:c>
      <x:c r="T177" s="13" t="str">
        <x:v>a2d548af6e79706049e811779298eba28ddd1c1d126128dd70f7e262d6bd3f0f</x:v>
      </x:c>
    </x:row>
    <x:row r="178" ht="15" hidden="0" customHeight="1">
      <x:c r="A178" s="13" t="str">
        <x:v>E4oKO2SSTc0</x:v>
      </x:c>
      <x:c r="B178" s="13" t="str">
        <x:v>How to Profitably Manage a Big List of Stocks</x:v>
      </x:c>
      <x:c r="C178" s="14" t="d">
        <x:v>2016-09-24T00:00:00.000Z</x:v>
      </x:c>
      <x:c r="D178" s="18" t="e">
        <x:f>HYPERLINK("https://www.youtube.com/watch?v=E4oKO2SSTc0","Watch video")</x:f>
        <x:v>HYPERLINK is not implemented. linkLocation=https://www.youtube.com/watch?v=E4oKO2SSTc0, friendlyName=Watch video</x:v>
      </x:c>
      <x:c r="E178" s="18" t="e">
        <x:f>HYPERLINK("transcripts/E4oKO2SSTc0.html","Complete transcript")</x:f>
        <x:v>HYPERLINK is not implemented. linkLocation=transcripts/E4oKO2SSTc0.html, friendlyName=Complete transcript</x:v>
      </x:c>
      <x:c r="F178" s="13" t="str">
        <x:v>UNKNOWN_REQUIRES_REVIEW</x:v>
      </x:c>
      <x:c r="G178" s="17" t="str">
        <x:v>UNREVIEWED</x:v>
      </x:c>
      <x:c r="H178" s="17" t="str"/>
      <x:c r="I178" s="17" t="str"/>
      <x:c r="J178" s="17" t="str"/>
      <x:c r="K178" s="17" t="str"/>
      <x:c r="L178" s="17" t="str"/>
      <x:c r="M178" s="17" t="str">
        <x:v>PENDING WHOLE-VIDEO REVIEW</x:v>
      </x:c>
      <x:c r="N178" s="15" t="n">
        <x:v>134</x:v>
      </x:c>
      <x:c r="O178" s="15" t="n">
        <x:v>996</x:v>
      </x:c>
      <x:c r="P178" s="15" t="n">
        <x:v>295</x:v>
      </x:c>
      <x:c r="Q178" s="13" t="str">
        <x:v>NO_LARGE_TAIL_GAP</x:v>
      </x:c>
      <x:c r="R178" s="13" t="str"/>
      <x:c r="S178" s="16" t="n">
        <x:v>0</x:v>
      </x:c>
      <x:c r="T178" s="13" t="str">
        <x:v>e3310aac8a5eca21b8f4b83e8676f955df95258030a90e24317eba97d97dbde3</x:v>
      </x:c>
    </x:row>
    <x:row r="179" ht="15" hidden="0" customHeight="1">
      <x:c r="A179" s="13" t="str">
        <x:v>EK-ZniiMELc</x:v>
      </x:c>
      <x:c r="B179" s="13" t="str">
        <x:v>NKE Nike Inc Earnings | Best Stock Picks Today 6-25-20</x:v>
      </x:c>
      <x:c r="C179" s="14" t="d">
        <x:v>2020-06-25T00:00:00.000Z</x:v>
      </x:c>
      <x:c r="D179" s="18" t="e">
        <x:f>HYPERLINK("https://www.youtube.com/watch?v=EK-ZniiMELc","Watch video")</x:f>
        <x:v>HYPERLINK is not implemented. linkLocation=https://www.youtube.com/watch?v=EK-ZniiMELc, friendlyName=Watch video</x:v>
      </x:c>
      <x:c r="E179" s="18" t="e">
        <x:f>HYPERLINK("transcripts/EK-ZniiMELc.html","Complete transcript")</x:f>
        <x:v>HYPERLINK is not implemented. linkLocation=transcripts/EK-ZniiMELc.html, friendlyName=Complete transcript</x:v>
      </x:c>
      <x:c r="F179" s="13" t="str">
        <x:v>PETE_EXPLICIT</x:v>
      </x:c>
      <x:c r="G179" s="17" t="str">
        <x:v>UNREVIEWED</x:v>
      </x:c>
      <x:c r="H179" s="17" t="str"/>
      <x:c r="I179" s="17" t="str"/>
      <x:c r="J179" s="17" t="str"/>
      <x:c r="K179" s="17" t="str"/>
      <x:c r="L179" s="17" t="str"/>
      <x:c r="M179" s="17" t="str">
        <x:v>PENDING WHOLE-VIDEO REVIEW</x:v>
      </x:c>
      <x:c r="N179" s="15" t="n">
        <x:v>408</x:v>
      </x:c>
      <x:c r="O179" s="15" t="n">
        <x:v>3006</x:v>
      </x:c>
      <x:c r="P179" s="15" t="n">
        <x:v>848</x:v>
      </x:c>
      <x:c r="Q179" s="13" t="str">
        <x:v>NO_LARGE_TAIL_GAP</x:v>
      </x:c>
      <x:c r="R179" s="13" t="str"/>
      <x:c r="S179" s="16" t="n">
        <x:v>0</x:v>
      </x:c>
      <x:c r="T179" s="13" t="str">
        <x:v>c0e33dba1b70570e16a307aa7b5fdecf56941949d368c5a2a966fa851417327f</x:v>
      </x:c>
    </x:row>
    <x:row r="180" ht="24" hidden="0" customHeight="1">
      <x:c r="A180" s="13" t="str">
        <x:v>EMwGgBOPERA</x:v>
      </x:c>
      <x:c r="B180" s="13" t="str">
        <x:v>Good Trade Ideas | Trading Seminar</x:v>
      </x:c>
      <x:c r="C180" s="14" t="d">
        <x:v>2015-04-22T00:00:00.000Z</x:v>
      </x:c>
      <x:c r="D180" s="18" t="e">
        <x:f>HYPERLINK("https://www.youtube.com/watch?v=EMwGgBOPERA","Watch video")</x:f>
        <x:v>HYPERLINK is not implemented. linkLocation=https://www.youtube.com/watch?v=EMwGgBOPERA, friendlyName=Watch video</x:v>
      </x:c>
      <x:c r="E180" s="18" t="e">
        <x:f>HYPERLINK("transcripts/EMwGgBOPERA.html","Complete transcript")</x:f>
        <x:v>HYPERLINK is not implemented. linkLocation=transcripts/EMwGgBOPERA.html, friendlyName=Complete transcript</x:v>
      </x:c>
      <x:c r="F180" s="13" t="str">
        <x:v>UNKNOWN_REQUIRES_REVIEW</x:v>
      </x:c>
      <x:c r="G180" s="17" t="str">
        <x:v>Seminar excerpt with teaching</x:v>
      </x:c>
      <x:c r="H180" s="17" t="str">
        <x:v>Adapting trading to conditions and resources</x:v>
      </x:c>
      <x:c r="I180" s="17" t="str">
        <x:v>Links exposure to conditions, narrows game planning to available resources, and illustrates waiting for a better trade location and confirming context.</x:v>
      </x:c>
      <x:c r="J180" s="17" t="str">
        <x:v>Trading plan; risk; stock selection; entries; market context</x:v>
      </x:c>
      <x:c r="K180" s="17" t="str">
        <x:v>Mentoring sales presentation includes substantive process and a conditional entry example.</x:v>
      </x:c>
      <x:c r="L180" s="17" t="str">
        <x:v>Near-duplicate of TcEXI4W8F30; one source family, not independent corroboration.</x:v>
      </x:c>
      <x:c r="M180" s="17" t="str">
        <x:v>WHOLE TRANSCRIPT READ — visuals pending</x:v>
      </x:c>
      <x:c r="N180" s="15" t="n">
        <x:v>85</x:v>
      </x:c>
      <x:c r="O180" s="15" t="n">
        <x:v>625</x:v>
      </x:c>
      <x:c r="P180" s="15" t="n">
        <x:v>177</x:v>
      </x:c>
      <x:c r="Q180" s="13" t="str">
        <x:v>NO_LARGE_TAIL_GAP</x:v>
      </x:c>
      <x:c r="R180" s="13" t="str">
        <x:v>PROVISIONAL_DUPLICATE_02</x:v>
      </x:c>
      <x:c r="S180" s="16" t="n">
        <x:v>6</x:v>
      </x:c>
      <x:c r="T180" s="13" t="str">
        <x:v>8fbb296a54f2b6c9e8a099f6f8f5b3341f46b5cde31ffa200e9f9c5e4e89309e</x:v>
      </x:c>
    </x:row>
    <x:row r="181" ht="15" hidden="0" customHeight="1">
      <x:c r="A181" s="13" t="str">
        <x:v>ETBHJXQyusc</x:v>
      </x:c>
      <x:c r="B181" s="13" t="str">
        <x:v>Stock Market Frustrating You? Here's What You're Missing</x:v>
      </x:c>
      <x:c r="C181" s="14" t="d">
        <x:v>2022-03-04T00:00:00.000Z</x:v>
      </x:c>
      <x:c r="D181" s="18" t="e">
        <x:f>HYPERLINK("https://www.youtube.com/watch?v=ETBHJXQyusc","Watch video")</x:f>
        <x:v>HYPERLINK is not implemented. linkLocation=https://www.youtube.com/watch?v=ETBHJXQyusc, friendlyName=Watch video</x:v>
      </x:c>
      <x:c r="E181" s="18" t="e">
        <x:f>HYPERLINK("transcripts/ETBHJXQyusc.html","Complete transcript")</x:f>
        <x:v>HYPERLINK is not implemented. linkLocation=transcripts/ETBHJXQyusc.html, friendlyName=Complete transcript</x:v>
      </x:c>
      <x:c r="F181" s="13" t="str">
        <x:v>PETE_EXPLICIT</x:v>
      </x:c>
      <x:c r="G181" s="17" t="str">
        <x:v>UNREVIEWED</x:v>
      </x:c>
      <x:c r="H181" s="17" t="str"/>
      <x:c r="I181" s="17" t="str"/>
      <x:c r="J181" s="17" t="str"/>
      <x:c r="K181" s="17" t="str"/>
      <x:c r="L181" s="17" t="str"/>
      <x:c r="M181" s="17" t="str">
        <x:v>PENDING WHOLE-VIDEO REVIEW</x:v>
      </x:c>
      <x:c r="N181" s="15" t="n">
        <x:v>506</x:v>
      </x:c>
      <x:c r="O181" s="15" t="n">
        <x:v>3468</x:v>
      </x:c>
      <x:c r="P181" s="15" t="n">
        <x:v>1053</x:v>
      </x:c>
      <x:c r="Q181" s="13" t="str">
        <x:v>NO_LARGE_TAIL_GAP</x:v>
      </x:c>
      <x:c r="R181" s="13" t="str"/>
      <x:c r="S181" s="16" t="n">
        <x:v>0</x:v>
      </x:c>
      <x:c r="T181" s="13" t="str">
        <x:v>3f9fc79459f2d9e60601712f33d1e0216c501d93127109fc5c1ea1352d05521e</x:v>
      </x:c>
    </x:row>
    <x:row r="182" ht="15" hidden="0" customHeight="1">
      <x:c r="A182" s="13" t="str">
        <x:v>EUX-uinqjng</x:v>
      </x:c>
      <x:c r="B182" s="13" t="str">
        <x:v>A Trading Plan For Swing Traders</x:v>
      </x:c>
      <x:c r="C182" s="14" t="d">
        <x:v>2026-06-02T00:00:00.000Z</x:v>
      </x:c>
      <x:c r="D182" s="18" t="e">
        <x:f>HYPERLINK("https://www.youtube.com/watch?v=EUX-uinqjng","Watch video")</x:f>
        <x:v>HYPERLINK is not implemented. linkLocation=https://www.youtube.com/watch?v=EUX-uinqjng, friendlyName=Watch video</x:v>
      </x:c>
      <x:c r="E182" s="18" t="e">
        <x:f>HYPERLINK("transcripts/EUX-uinqjng.html","Complete transcript")</x:f>
        <x:v>HYPERLINK is not implemented. linkLocation=transcripts/EUX-uinqjng.html, friendlyName=Complete transcript</x:v>
      </x:c>
      <x:c r="F182" s="13" t="str">
        <x:v>UNKNOWN_REQUIRES_REVIEW</x:v>
      </x:c>
      <x:c r="G182" s="17" t="str">
        <x:v>UNREVIEWED</x:v>
      </x:c>
      <x:c r="H182" s="17" t="str"/>
      <x:c r="I182" s="17" t="str"/>
      <x:c r="J182" s="17" t="str"/>
      <x:c r="K182" s="17" t="str"/>
      <x:c r="L182" s="17" t="str"/>
      <x:c r="M182" s="17" t="str">
        <x:v>PENDING WHOLE-VIDEO REVIEW</x:v>
      </x:c>
      <x:c r="N182" s="15" t="n">
        <x:v>260</x:v>
      </x:c>
      <x:c r="O182" s="15" t="n">
        <x:v>1613</x:v>
      </x:c>
      <x:c r="P182" s="15" t="n">
        <x:v>504</x:v>
      </x:c>
      <x:c r="Q182" s="13" t="str">
        <x:v>NO_LARGE_TAIL_GAP</x:v>
      </x:c>
      <x:c r="R182" s="13" t="str"/>
      <x:c r="S182" s="16" t="n">
        <x:v>0</x:v>
      </x:c>
      <x:c r="T182" s="13" t="str">
        <x:v>dcb144d16513483076e86b3e7daeadf6ef497860cf3f88ccdd343cf412d3526f</x:v>
      </x:c>
    </x:row>
    <x:row r="183" ht="15" hidden="0" customHeight="1">
      <x:c r="A183" s="13" t="str">
        <x:v>EVbbXfIVSiY</x:v>
      </x:c>
      <x:c r="B183" s="13" t="str">
        <x:v>Stock Market Crash = Opportunity</x:v>
      </x:c>
      <x:c r="C183" s="14" t="d">
        <x:v>2022-10-10T00:00:00.000Z</x:v>
      </x:c>
      <x:c r="D183" s="18" t="e">
        <x:f>HYPERLINK("https://www.youtube.com/watch?v=EVbbXfIVSiY","Watch video")</x:f>
        <x:v>HYPERLINK is not implemented. linkLocation=https://www.youtube.com/watch?v=EVbbXfIVSiY, friendlyName=Watch video</x:v>
      </x:c>
      <x:c r="E183" s="18" t="e">
        <x:f>HYPERLINK("transcripts/EVbbXfIVSiY.html","Complete transcript")</x:f>
        <x:v>HYPERLINK is not implemented. linkLocation=transcripts/EVbbXfIVSiY.html, friendlyName=Complete transcript</x:v>
      </x:c>
      <x:c r="F183" s="13" t="str">
        <x:v>PETE_EXPLICIT</x:v>
      </x:c>
      <x:c r="G183" s="17" t="str">
        <x:v>UNREVIEWED</x:v>
      </x:c>
      <x:c r="H183" s="17" t="str"/>
      <x:c r="I183" s="17" t="str"/>
      <x:c r="J183" s="17" t="str"/>
      <x:c r="K183" s="17" t="str"/>
      <x:c r="L183" s="17" t="str"/>
      <x:c r="M183" s="17" t="str">
        <x:v>PENDING WHOLE-VIDEO REVIEW</x:v>
      </x:c>
      <x:c r="N183" s="15" t="n">
        <x:v>1022</x:v>
      </x:c>
      <x:c r="O183" s="15" t="n">
        <x:v>7558</x:v>
      </x:c>
      <x:c r="P183" s="15" t="n">
        <x:v>2285</x:v>
      </x:c>
      <x:c r="Q183" s="13" t="str">
        <x:v>NO_LARGE_TAIL_GAP</x:v>
      </x:c>
      <x:c r="R183" s="13" t="str"/>
      <x:c r="S183" s="16" t="n">
        <x:v>0</x:v>
      </x:c>
      <x:c r="T183" s="13" t="str">
        <x:v>ed0b701cb1198bf573fe9e1b270a8480a0f4dc8209b624fd960421f069be40f9</x:v>
      </x:c>
    </x:row>
    <x:row r="184" ht="15" hidden="0" customHeight="1">
      <x:c r="A184" s="13" t="str">
        <x:v>EXMJ_FGOXP8</x:v>
      </x:c>
      <x:c r="B184" s="13" t="str">
        <x:v>Risk Reward and Stacking the Odds</x:v>
      </x:c>
      <x:c r="C184" s="14" t="d">
        <x:v>2020-07-16T00:00:00.000Z</x:v>
      </x:c>
      <x:c r="D184" s="18" t="e">
        <x:f>HYPERLINK("https://www.youtube.com/watch?v=EXMJ_FGOXP8","Watch video")</x:f>
        <x:v>HYPERLINK is not implemented. linkLocation=https://www.youtube.com/watch?v=EXMJ_FGOXP8, friendlyName=Watch video</x:v>
      </x:c>
      <x:c r="E184" s="18" t="e">
        <x:f>HYPERLINK("transcripts/EXMJ_FGOXP8.html","Complete transcript")</x:f>
        <x:v>HYPERLINK is not implemented. linkLocation=transcripts/EXMJ_FGOXP8.html, friendlyName=Complete transcript</x:v>
      </x:c>
      <x:c r="F184" s="13" t="str">
        <x:v>UNKNOWN_REQUIRES_REVIEW</x:v>
      </x:c>
      <x:c r="G184" s="17" t="str">
        <x:v>UNREVIEWED</x:v>
      </x:c>
      <x:c r="H184" s="17" t="str"/>
      <x:c r="I184" s="17" t="str"/>
      <x:c r="J184" s="17" t="str"/>
      <x:c r="K184" s="17" t="str"/>
      <x:c r="L184" s="17" t="str"/>
      <x:c r="M184" s="17" t="str">
        <x:v>PENDING WHOLE-VIDEO REVIEW</x:v>
      </x:c>
      <x:c r="N184" s="15" t="n">
        <x:v>486</x:v>
      </x:c>
      <x:c r="O184" s="15" t="n">
        <x:v>3535</x:v>
      </x:c>
      <x:c r="P184" s="15" t="n">
        <x:v>1071</x:v>
      </x:c>
      <x:c r="Q184" s="13" t="str">
        <x:v>NO_LARGE_TAIL_GAP</x:v>
      </x:c>
      <x:c r="R184" s="13" t="str"/>
      <x:c r="S184" s="16" t="n">
        <x:v>0</x:v>
      </x:c>
      <x:c r="T184" s="13" t="str">
        <x:v>27a04a1845ce8de178f4a47008e3d38c7dbc8d8babbaa991fa22ab72ca04bf75</x:v>
      </x:c>
    </x:row>
    <x:row r="185" ht="15" hidden="0" customHeight="1">
      <x:c r="A185" s="13" t="str">
        <x:v>Elr_qyrIRfw</x:v>
      </x:c>
      <x:c r="B185" s="13" t="str">
        <x:v>Stock Related Necessities Trading Into Order Flow?</x:v>
      </x:c>
      <x:c r="C185" s="14" t="d">
        <x:v>2023-03-02T00:00:00.000Z</x:v>
      </x:c>
      <x:c r="D185" s="18" t="e">
        <x:f>HYPERLINK("https://www.youtube.com/watch?v=Elr_qyrIRfw","Watch video")</x:f>
        <x:v>HYPERLINK is not implemented. linkLocation=https://www.youtube.com/watch?v=Elr_qyrIRfw, friendlyName=Watch video</x:v>
      </x:c>
      <x:c r="E185" s="18" t="e">
        <x:f>HYPERLINK("transcripts/Elr_qyrIRfw.html","Complete transcript")</x:f>
        <x:v>HYPERLINK is not implemented. linkLocation=transcripts/Elr_qyrIRfw.html, friendlyName=Complete transcript</x:v>
      </x:c>
      <x:c r="F185" s="13" t="str">
        <x:v>UNKNOWN_REQUIRES_REVIEW</x:v>
      </x:c>
      <x:c r="G185" s="17" t="str">
        <x:v>UNREVIEWED</x:v>
      </x:c>
      <x:c r="H185" s="17" t="str"/>
      <x:c r="I185" s="17" t="str"/>
      <x:c r="J185" s="17" t="str"/>
      <x:c r="K185" s="17" t="str"/>
      <x:c r="L185" s="17" t="str"/>
      <x:c r="M185" s="17" t="str">
        <x:v>PENDING WHOLE-VIDEO REVIEW</x:v>
      </x:c>
      <x:c r="N185" s="15" t="n">
        <x:v>90</x:v>
      </x:c>
      <x:c r="O185" s="15" t="n">
        <x:v>649</x:v>
      </x:c>
      <x:c r="P185" s="15" t="n">
        <x:v>185</x:v>
      </x:c>
      <x:c r="Q185" s="13" t="str">
        <x:v>NO_LARGE_TAIL_GAP</x:v>
      </x:c>
      <x:c r="R185" s="13" t="str"/>
      <x:c r="S185" s="16" t="n">
        <x:v>0</x:v>
      </x:c>
      <x:c r="T185" s="13" t="str">
        <x:v>e8d9841967350b07a24700f265d1675813cb1086c35ab46c47b19840b25b7474</x:v>
      </x:c>
    </x:row>
    <x:row r="186" ht="15" hidden="0" customHeight="1">
      <x:c r="A186" s="13" t="str">
        <x:v>F4G-mYWKvoI</x:v>
      </x:c>
      <x:c r="B186" s="13" t="str">
        <x:v>Top 5 Trading Rules 5-13-20 | Stocks for Breakfast</x:v>
      </x:c>
      <x:c r="C186" s="14" t="d">
        <x:v>2020-05-13T00:00:00.000Z</x:v>
      </x:c>
      <x:c r="D186" s="18" t="e">
        <x:f>HYPERLINK("https://www.youtube.com/watch?v=F4G-mYWKvoI","Watch video")</x:f>
        <x:v>HYPERLINK is not implemented. linkLocation=https://www.youtube.com/watch?v=F4G-mYWKvoI, friendlyName=Watch video</x:v>
      </x:c>
      <x:c r="E186" s="18" t="e">
        <x:f>HYPERLINK("transcripts/F4G-mYWKvoI.html","Complete transcript")</x:f>
        <x:v>HYPERLINK is not implemented. linkLocation=transcripts/F4G-mYWKvoI.html, friendlyName=Complete transcript</x:v>
      </x:c>
      <x:c r="F186" s="13" t="str">
        <x:v>PETE_EXPLICIT</x:v>
      </x:c>
      <x:c r="G186" s="17" t="str">
        <x:v>UNREVIEWED</x:v>
      </x:c>
      <x:c r="H186" s="17" t="str"/>
      <x:c r="I186" s="17" t="str"/>
      <x:c r="J186" s="17" t="str"/>
      <x:c r="K186" s="17" t="str"/>
      <x:c r="L186" s="17" t="str"/>
      <x:c r="M186" s="17" t="str">
        <x:v>PENDING WHOLE-VIDEO REVIEW</x:v>
      </x:c>
      <x:c r="N186" s="15" t="n">
        <x:v>479</x:v>
      </x:c>
      <x:c r="O186" s="15" t="n">
        <x:v>2861</x:v>
      </x:c>
      <x:c r="P186" s="15" t="n">
        <x:v>893</x:v>
      </x:c>
      <x:c r="Q186" s="13" t="str">
        <x:v>NO_LARGE_TAIL_GAP</x:v>
      </x:c>
      <x:c r="R186" s="13" t="str"/>
      <x:c r="S186" s="16" t="n">
        <x:v>0</x:v>
      </x:c>
      <x:c r="T186" s="13" t="str">
        <x:v>11edcc97a0e00a59b062c6d2ffc1c8f3b071d86c8a9fafc1da8a9eb71c992fdd</x:v>
      </x:c>
    </x:row>
    <x:row r="187" ht="15" hidden="0" customHeight="1">
      <x:c r="A187" s="13" t="str">
        <x:v>F9gpSWP2y6w</x:v>
      </x:c>
      <x:c r="B187" s="13" t="str">
        <x:v>HOW TO BUY STOCKS AT THE RIGHT TIME</x:v>
      </x:c>
      <x:c r="C187" s="14" t="d">
        <x:v>2021-12-10T00:00:00.000Z</x:v>
      </x:c>
      <x:c r="D187" s="18" t="e">
        <x:f>HYPERLINK("https://www.youtube.com/watch?v=F9gpSWP2y6w","Watch video")</x:f>
        <x:v>HYPERLINK is not implemented. linkLocation=https://www.youtube.com/watch?v=F9gpSWP2y6w, friendlyName=Watch video</x:v>
      </x:c>
      <x:c r="E187" s="18" t="e">
        <x:f>HYPERLINK("transcripts/F9gpSWP2y6w.html","Complete transcript")</x:f>
        <x:v>HYPERLINK is not implemented. linkLocation=transcripts/F9gpSWP2y6w.html, friendlyName=Complete transcript</x:v>
      </x:c>
      <x:c r="F187" s="13" t="str">
        <x:v>PETE_EXPLICIT</x:v>
      </x:c>
      <x:c r="G187" s="17" t="str">
        <x:v>UNREVIEWED</x:v>
      </x:c>
      <x:c r="H187" s="17" t="str"/>
      <x:c r="I187" s="17" t="str"/>
      <x:c r="J187" s="17" t="str"/>
      <x:c r="K187" s="17" t="str"/>
      <x:c r="L187" s="17" t="str"/>
      <x:c r="M187" s="17" t="str">
        <x:v>PENDING WHOLE-VIDEO REVIEW</x:v>
      </x:c>
      <x:c r="N187" s="15" t="n">
        <x:v>209</x:v>
      </x:c>
      <x:c r="O187" s="15" t="n">
        <x:v>1337</x:v>
      </x:c>
      <x:c r="P187" s="15" t="n">
        <x:v>460</x:v>
      </x:c>
      <x:c r="Q187" s="13" t="str">
        <x:v>NO_LARGE_TAIL_GAP</x:v>
      </x:c>
      <x:c r="R187" s="13" t="str"/>
      <x:c r="S187" s="16" t="n">
        <x:v>0</x:v>
      </x:c>
      <x:c r="T187" s="13" t="str">
        <x:v>052ddd23a590551228d5cc2f972e08bbb5f38bb2d937c763b04297f8ed3e3e0e</x:v>
      </x:c>
    </x:row>
    <x:row r="188" ht="15" hidden="0" customHeight="1">
      <x:c r="A188" s="13" t="str">
        <x:v>F9xaDm0I3xc</x:v>
      </x:c>
      <x:c r="B188" s="13" t="str">
        <x:v>Best Stock Picks Today 3 31 20 | Trading AAPL</x:v>
      </x:c>
      <x:c r="C188" s="14" t="d">
        <x:v>2020-03-31T00:00:00.000Z</x:v>
      </x:c>
      <x:c r="D188" s="18" t="e">
        <x:f>HYPERLINK("https://www.youtube.com/watch?v=F9xaDm0I3xc","Watch video")</x:f>
        <x:v>HYPERLINK is not implemented. linkLocation=https://www.youtube.com/watch?v=F9xaDm0I3xc, friendlyName=Watch video</x:v>
      </x:c>
      <x:c r="E188" s="18" t="e">
        <x:f>HYPERLINK("transcripts/F9xaDm0I3xc.html","Complete transcript")</x:f>
        <x:v>HYPERLINK is not implemented. linkLocation=transcripts/F9xaDm0I3xc.html, friendlyName=Complete transcript</x:v>
      </x:c>
      <x:c r="F188" s="13" t="str">
        <x:v>PETE_EXPLICIT</x:v>
      </x:c>
      <x:c r="G188" s="17" t="str">
        <x:v>UNREVIEWED</x:v>
      </x:c>
      <x:c r="H188" s="17" t="str"/>
      <x:c r="I188" s="17" t="str"/>
      <x:c r="J188" s="17" t="str"/>
      <x:c r="K188" s="17" t="str"/>
      <x:c r="L188" s="17" t="str"/>
      <x:c r="M188" s="17" t="str">
        <x:v>PENDING WHOLE-VIDEO REVIEW</x:v>
      </x:c>
      <x:c r="N188" s="15" t="n">
        <x:v>427</x:v>
      </x:c>
      <x:c r="O188" s="15" t="n">
        <x:v>3090</x:v>
      </x:c>
      <x:c r="P188" s="15" t="n">
        <x:v>875</x:v>
      </x:c>
      <x:c r="Q188" s="13" t="str">
        <x:v>NO_LARGE_TAIL_GAP</x:v>
      </x:c>
      <x:c r="R188" s="13" t="str"/>
      <x:c r="S188" s="16" t="n">
        <x:v>0</x:v>
      </x:c>
      <x:c r="T188" s="13" t="str">
        <x:v>cf0953dee78d09c404bbbd50d184624049c4a83782cf73f30ccc1dedbdd5cd2e</x:v>
      </x:c>
    </x:row>
    <x:row r="189" ht="15" hidden="0" customHeight="1">
      <x:c r="A189" s="13" t="str">
        <x:v>FBMx5d6h7fc</x:v>
      </x:c>
      <x:c r="B189" s="13" t="str">
        <x:v>Best Stock Picks Made Easy | Step-by-Step Process</x:v>
      </x:c>
      <x:c r="C189" s="14" t="d">
        <x:v>2020-09-02T00:00:00.000Z</x:v>
      </x:c>
      <x:c r="D189" s="18" t="e">
        <x:f>HYPERLINK("https://www.youtube.com/watch?v=FBMx5d6h7fc","Watch video")</x:f>
        <x:v>HYPERLINK is not implemented. linkLocation=https://www.youtube.com/watch?v=FBMx5d6h7fc, friendlyName=Watch video</x:v>
      </x:c>
      <x:c r="E189" s="18" t="e">
        <x:f>HYPERLINK("transcripts/FBMx5d6h7fc.html","Complete transcript")</x:f>
        <x:v>HYPERLINK is not implemented. linkLocation=transcripts/FBMx5d6h7fc.html, friendlyName=Complete transcript</x:v>
      </x:c>
      <x:c r="F189" s="13" t="str">
        <x:v>PETE_EXPLICIT</x:v>
      </x:c>
      <x:c r="G189" s="17" t="str">
        <x:v>UNREVIEWED</x:v>
      </x:c>
      <x:c r="H189" s="17" t="str"/>
      <x:c r="I189" s="17" t="str"/>
      <x:c r="J189" s="17" t="str"/>
      <x:c r="K189" s="17" t="str"/>
      <x:c r="L189" s="17" t="str"/>
      <x:c r="M189" s="17" t="str">
        <x:v>PENDING WHOLE-VIDEO REVIEW</x:v>
      </x:c>
      <x:c r="N189" s="15" t="n">
        <x:v>534</x:v>
      </x:c>
      <x:c r="O189" s="15" t="n">
        <x:v>3314</x:v>
      </x:c>
      <x:c r="P189" s="15" t="n">
        <x:v>946</x:v>
      </x:c>
      <x:c r="Q189" s="13" t="str">
        <x:v>NO_LARGE_TAIL_GAP</x:v>
      </x:c>
      <x:c r="R189" s="13" t="str"/>
      <x:c r="S189" s="16" t="n">
        <x:v>0</x:v>
      </x:c>
      <x:c r="T189" s="13" t="str">
        <x:v>e9040793aa2a2ab0b41207453f5eb43d7fdbc591bab91d5694e6ab697cb819b2</x:v>
      </x:c>
    </x:row>
    <x:row r="190" ht="15" hidden="0" customHeight="1">
      <x:c r="A190" s="13" t="str">
        <x:v>FChGVFWuOXQ</x:v>
      </x:c>
      <x:c r="B190" s="13" t="str">
        <x:v>The Importance of Strategic Volatility in Options Trading</x:v>
      </x:c>
      <x:c r="C190" s="14" t="d">
        <x:v>2024-07-09T00:00:00.000Z</x:v>
      </x:c>
      <x:c r="D190" s="18" t="e">
        <x:f>HYPERLINK("https://www.youtube.com/watch?v=FChGVFWuOXQ","Watch video")</x:f>
        <x:v>HYPERLINK is not implemented. linkLocation=https://www.youtube.com/watch?v=FChGVFWuOXQ, friendlyName=Watch video</x:v>
      </x:c>
      <x:c r="E190" s="18" t="e">
        <x:f>HYPERLINK("transcripts/FChGVFWuOXQ.html","Complete transcript")</x:f>
        <x:v>HYPERLINK is not implemented. linkLocation=transcripts/FChGVFWuOXQ.html, friendlyName=Complete transcript</x:v>
      </x:c>
      <x:c r="F190" s="13" t="str">
        <x:v>UNKNOWN_REQUIRES_REVIEW</x:v>
      </x:c>
      <x:c r="G190" s="17" t="str">
        <x:v>UNREVIEWED</x:v>
      </x:c>
      <x:c r="H190" s="17" t="str"/>
      <x:c r="I190" s="17" t="str"/>
      <x:c r="J190" s="17" t="str"/>
      <x:c r="K190" s="17" t="str"/>
      <x:c r="L190" s="17" t="str"/>
      <x:c r="M190" s="17" t="str">
        <x:v>PENDING WHOLE-VIDEO REVIEW</x:v>
      </x:c>
      <x:c r="N190" s="15" t="n">
        <x:v>43</x:v>
      </x:c>
      <x:c r="O190" s="15" t="n">
        <x:v>311</x:v>
      </x:c>
      <x:c r="P190" s="15" t="n">
        <x:v>89</x:v>
      </x:c>
      <x:c r="Q190" s="13" t="str">
        <x:v>NO_LARGE_TAIL_GAP</x:v>
      </x:c>
      <x:c r="R190" s="13" t="str"/>
      <x:c r="S190" s="16" t="n">
        <x:v>0</x:v>
      </x:c>
      <x:c r="T190" s="13" t="str">
        <x:v>08ef9b4d7e1bfd9417c233115adbbff294e26e0fd9828ecd12d038e8a1c56dab</x:v>
      </x:c>
    </x:row>
    <x:row r="191" ht="15" hidden="0" customHeight="1">
      <x:c r="A191" s="13" t="str">
        <x:v>FHMqpylPt5U</x:v>
      </x:c>
      <x:c r="B191" s="13" t="str">
        <x:v>Trading Stocks for Beginners | Stacking the Odds 3 17 20 | Stocks for Breakfast</x:v>
      </x:c>
      <x:c r="C191" s="14" t="d">
        <x:v>2020-03-17T00:00:00.000Z</x:v>
      </x:c>
      <x:c r="D191" s="18" t="e">
        <x:f>HYPERLINK("https://www.youtube.com/watch?v=FHMqpylPt5U","Watch video")</x:f>
        <x:v>HYPERLINK is not implemented. linkLocation=https://www.youtube.com/watch?v=FHMqpylPt5U, friendlyName=Watch video</x:v>
      </x:c>
      <x:c r="E191" s="18" t="e">
        <x:f>HYPERLINK("transcripts/FHMqpylPt5U.html","Complete transcript")</x:f>
        <x:v>HYPERLINK is not implemented. linkLocation=transcripts/FHMqpylPt5U.html, friendlyName=Complete transcript</x:v>
      </x:c>
      <x:c r="F191" s="13" t="str">
        <x:v>UNKNOWN_REQUIRES_REVIEW</x:v>
      </x:c>
      <x:c r="G191" s="17" t="str">
        <x:v>UNREVIEWED</x:v>
      </x:c>
      <x:c r="H191" s="17" t="str"/>
      <x:c r="I191" s="17" t="str"/>
      <x:c r="J191" s="17" t="str"/>
      <x:c r="K191" s="17" t="str"/>
      <x:c r="L191" s="17" t="str"/>
      <x:c r="M191" s="17" t="str">
        <x:v>PENDING WHOLE-VIDEO REVIEW</x:v>
      </x:c>
      <x:c r="N191" s="15" t="n">
        <x:v>451</x:v>
      </x:c>
      <x:c r="O191" s="15" t="n">
        <x:v>3216</x:v>
      </x:c>
      <x:c r="P191" s="15" t="n">
        <x:v>981</x:v>
      </x:c>
      <x:c r="Q191" s="13" t="str">
        <x:v>NO_LARGE_TAIL_GAP</x:v>
      </x:c>
      <x:c r="R191" s="13" t="str"/>
      <x:c r="S191" s="16" t="n">
        <x:v>0</x:v>
      </x:c>
      <x:c r="T191" s="13" t="str">
        <x:v>5f6c59b4c35c308619bb30b139bfe20c89ae452923e92f71c9729b7fd5411d5c</x:v>
      </x:c>
    </x:row>
    <x:row r="192" ht="15" hidden="0" customHeight="1">
      <x:c r="A192" s="13" t="str">
        <x:v>FJL0fBDr_8c</x:v>
      </x:c>
      <x:c r="B192" s="13" t="str">
        <x:v>Best Stock Picks Today | NIO Breakout 93020</x:v>
      </x:c>
      <x:c r="C192" s="14" t="d">
        <x:v>2020-09-30T00:00:00.000Z</x:v>
      </x:c>
      <x:c r="D192" s="18" t="e">
        <x:f>HYPERLINK("https://www.youtube.com/watch?v=FJL0fBDr_8c","Watch video")</x:f>
        <x:v>HYPERLINK is not implemented. linkLocation=https://www.youtube.com/watch?v=FJL0fBDr_8c, friendlyName=Watch video</x:v>
      </x:c>
      <x:c r="E192" s="18" t="e">
        <x:f>HYPERLINK("transcripts/FJL0fBDr_8c.html","Complete transcript")</x:f>
        <x:v>HYPERLINK is not implemented. linkLocation=transcripts/FJL0fBDr_8c.html, friendlyName=Complete transcript</x:v>
      </x:c>
      <x:c r="F192" s="13" t="str">
        <x:v>PETE_EXPLICIT</x:v>
      </x:c>
      <x:c r="G192" s="17" t="str">
        <x:v>UNREVIEWED</x:v>
      </x:c>
      <x:c r="H192" s="17" t="str"/>
      <x:c r="I192" s="17" t="str"/>
      <x:c r="J192" s="17" t="str"/>
      <x:c r="K192" s="17" t="str"/>
      <x:c r="L192" s="17" t="str"/>
      <x:c r="M192" s="17" t="str">
        <x:v>PENDING WHOLE-VIDEO REVIEW</x:v>
      </x:c>
      <x:c r="N192" s="15" t="n">
        <x:v>464</x:v>
      </x:c>
      <x:c r="O192" s="15" t="n">
        <x:v>2891</x:v>
      </x:c>
      <x:c r="P192" s="15" t="n">
        <x:v>846</x:v>
      </x:c>
      <x:c r="Q192" s="13" t="str">
        <x:v>NO_LARGE_TAIL_GAP</x:v>
      </x:c>
      <x:c r="R192" s="13" t="str"/>
      <x:c r="S192" s="16" t="n">
        <x:v>0</x:v>
      </x:c>
      <x:c r="T192" s="13" t="str">
        <x:v>d4ce4ee347b6387c4cbc51d8c229de9fc26f4858e4e7dd53ddbd3ae016480c4e</x:v>
      </x:c>
    </x:row>
    <x:row r="193" ht="15" hidden="0" customHeight="1">
      <x:c r="A193" s="13" t="str">
        <x:v>FlmSNZ080uE</x:v>
      </x:c>
      <x:c r="B193" s="13" t="str">
        <x:v>Coming Swing Trades 4 21 21</x:v>
      </x:c>
      <x:c r="C193" s="14" t="d">
        <x:v>2021-04-21T00:00:00.000Z</x:v>
      </x:c>
      <x:c r="D193" s="18" t="e">
        <x:f>HYPERLINK("https://www.youtube.com/watch?v=FlmSNZ080uE","Watch video")</x:f>
        <x:v>HYPERLINK is not implemented. linkLocation=https://www.youtube.com/watch?v=FlmSNZ080uE, friendlyName=Watch video</x:v>
      </x:c>
      <x:c r="E193" s="18" t="e">
        <x:f>HYPERLINK("transcripts/FlmSNZ080uE.html","Complete transcript")</x:f>
        <x:v>HYPERLINK is not implemented. linkLocation=transcripts/FlmSNZ080uE.html, friendlyName=Complete transcript</x:v>
      </x:c>
      <x:c r="F193" s="13" t="str">
        <x:v>UNKNOWN_REQUIRES_REVIEW</x:v>
      </x:c>
      <x:c r="G193" s="17" t="str">
        <x:v>UNREVIEWED</x:v>
      </x:c>
      <x:c r="H193" s="17" t="str"/>
      <x:c r="I193" s="17" t="str"/>
      <x:c r="J193" s="17" t="str"/>
      <x:c r="K193" s="17" t="str"/>
      <x:c r="L193" s="17" t="str"/>
      <x:c r="M193" s="17" t="str">
        <x:v>PENDING WHOLE-VIDEO REVIEW</x:v>
      </x:c>
      <x:c r="N193" s="15" t="n">
        <x:v>102</x:v>
      </x:c>
      <x:c r="O193" s="15" t="n">
        <x:v>653</x:v>
      </x:c>
      <x:c r="P193" s="15" t="n">
        <x:v>187</x:v>
      </x:c>
      <x:c r="Q193" s="13" t="str">
        <x:v>NO_LARGE_TAIL_GAP</x:v>
      </x:c>
      <x:c r="R193" s="13" t="str"/>
      <x:c r="S193" s="16" t="n">
        <x:v>3</x:v>
      </x:c>
      <x:c r="T193" s="13" t="str">
        <x:v>24a1df0eb7f3067da1785030a8430b0a237a22fe10883793b0bdc131c7001a8f</x:v>
      </x:c>
    </x:row>
    <x:row r="194" ht="15" hidden="0" customHeight="1">
      <x:c r="A194" s="13" t="str">
        <x:v>Fyst1Yod-fI</x:v>
      </x:c>
      <x:c r="B194" s="13" t="str">
        <x:v>4 Common Mistakes New Options Traders Make And How to Fix Them</x:v>
      </x:c>
      <x:c r="C194" s="14" t="d">
        <x:v>2024-07-08T00:00:00.000Z</x:v>
      </x:c>
      <x:c r="D194" s="18" t="e">
        <x:f>HYPERLINK("https://www.youtube.com/watch?v=Fyst1Yod-fI","Watch video")</x:f>
        <x:v>HYPERLINK is not implemented. linkLocation=https://www.youtube.com/watch?v=Fyst1Yod-fI, friendlyName=Watch video</x:v>
      </x:c>
      <x:c r="E194" s="18" t="e">
        <x:f>HYPERLINK("transcripts/Fyst1Yod-fI.html","Complete transcript")</x:f>
        <x:v>HYPERLINK is not implemented. linkLocation=transcripts/Fyst1Yod-fI.html, friendlyName=Complete transcript</x:v>
      </x:c>
      <x:c r="F194" s="13" t="str">
        <x:v>NON_PETE_EXPLICIT_JOHN</x:v>
      </x:c>
      <x:c r="G194" s="17" t="str">
        <x:v>UNREVIEWED</x:v>
      </x:c>
      <x:c r="H194" s="17" t="str"/>
      <x:c r="I194" s="17" t="str"/>
      <x:c r="J194" s="17" t="str"/>
      <x:c r="K194" s="17" t="str"/>
      <x:c r="L194" s="17" t="str"/>
      <x:c r="M194" s="17" t="str">
        <x:v>PENDING WHOLE-VIDEO REVIEW</x:v>
      </x:c>
      <x:c r="N194" s="15" t="n">
        <x:v>125</x:v>
      </x:c>
      <x:c r="O194" s="15" t="n">
        <x:v>931</x:v>
      </x:c>
      <x:c r="P194" s="15" t="n">
        <x:v>283</x:v>
      </x:c>
      <x:c r="Q194" s="13" t="str">
        <x:v>NO_LARGE_TAIL_GAP</x:v>
      </x:c>
      <x:c r="R194" s="13" t="str"/>
      <x:c r="S194" s="16" t="n">
        <x:v>0</x:v>
      </x:c>
      <x:c r="T194" s="13" t="str">
        <x:v>cbd4ba9bd1c4ccd95db24826e49d20b2e985147390204055b0b122deac1b6986</x:v>
      </x:c>
    </x:row>
    <x:row r="195" ht="15" hidden="0" customHeight="1">
      <x:c r="A195" s="13" t="str">
        <x:v>G2DXnzxC84Q</x:v>
      </x:c>
      <x:c r="B195" s="13" t="str">
        <x:v>TSLA Earnings | Best Stock Picks Today 10-21-20</x:v>
      </x:c>
      <x:c r="C195" s="14" t="d">
        <x:v>2020-10-21T00:00:00.000Z</x:v>
      </x:c>
      <x:c r="D195" s="18" t="e">
        <x:f>HYPERLINK("https://www.youtube.com/watch?v=G2DXnzxC84Q","Watch video")</x:f>
        <x:v>HYPERLINK is not implemented. linkLocation=https://www.youtube.com/watch?v=G2DXnzxC84Q, friendlyName=Watch video</x:v>
      </x:c>
      <x:c r="E195" s="18" t="e">
        <x:f>HYPERLINK("transcripts/G2DXnzxC84Q.html","Complete transcript")</x:f>
        <x:v>HYPERLINK is not implemented. linkLocation=transcripts/G2DXnzxC84Q.html, friendlyName=Complete transcript</x:v>
      </x:c>
      <x:c r="F195" s="13" t="str">
        <x:v>PETE_EXPLICIT</x:v>
      </x:c>
      <x:c r="G195" s="17" t="str">
        <x:v>UNREVIEWED</x:v>
      </x:c>
      <x:c r="H195" s="17" t="str"/>
      <x:c r="I195" s="17" t="str"/>
      <x:c r="J195" s="17" t="str"/>
      <x:c r="K195" s="17" t="str"/>
      <x:c r="L195" s="17" t="str"/>
      <x:c r="M195" s="17" t="str">
        <x:v>PENDING WHOLE-VIDEO REVIEW</x:v>
      </x:c>
      <x:c r="N195" s="15" t="n">
        <x:v>421</x:v>
      </x:c>
      <x:c r="O195" s="15" t="n">
        <x:v>2662</x:v>
      </x:c>
      <x:c r="P195" s="15" t="n">
        <x:v>755</x:v>
      </x:c>
      <x:c r="Q195" s="13" t="str">
        <x:v>NO_LARGE_TAIL_GAP</x:v>
      </x:c>
      <x:c r="R195" s="13" t="str"/>
      <x:c r="S195" s="16" t="n">
        <x:v>0</x:v>
      </x:c>
      <x:c r="T195" s="13" t="str">
        <x:v>cc2ca7f7b03839726f8dcc80ff1209e8501da79e9333c9e0c7a6960629b44e19</x:v>
      </x:c>
    </x:row>
    <x:row r="196" ht="15" hidden="0" customHeight="1">
      <x:c r="A196" s="13" t="str">
        <x:v>GAF9OGk9qXM</x:v>
      </x:c>
      <x:c r="B196" s="13" t="str">
        <x:v>How to Predict a Stock Market Crash</x:v>
      </x:c>
      <x:c r="C196" s="14" t="d">
        <x:v>2021-07-08T00:00:00.000Z</x:v>
      </x:c>
      <x:c r="D196" s="18" t="e">
        <x:f>HYPERLINK("https://www.youtube.com/watch?v=GAF9OGk9qXM","Watch video")</x:f>
        <x:v>HYPERLINK is not implemented. linkLocation=https://www.youtube.com/watch?v=GAF9OGk9qXM, friendlyName=Watch video</x:v>
      </x:c>
      <x:c r="E196" s="18" t="e">
        <x:f>HYPERLINK("transcripts/GAF9OGk9qXM.html","Complete transcript")</x:f>
        <x:v>HYPERLINK is not implemented. linkLocation=transcripts/GAF9OGk9qXM.html, friendlyName=Complete transcript</x:v>
      </x:c>
      <x:c r="F196" s="13" t="str">
        <x:v>PETE_EXPLICIT</x:v>
      </x:c>
      <x:c r="G196" s="17" t="str">
        <x:v>UNREVIEWED</x:v>
      </x:c>
      <x:c r="H196" s="17" t="str"/>
      <x:c r="I196" s="17" t="str"/>
      <x:c r="J196" s="17" t="str"/>
      <x:c r="K196" s="17" t="str"/>
      <x:c r="L196" s="17" t="str"/>
      <x:c r="M196" s="17" t="str">
        <x:v>PENDING WHOLE-VIDEO REVIEW</x:v>
      </x:c>
      <x:c r="N196" s="15" t="n">
        <x:v>233</x:v>
      </x:c>
      <x:c r="O196" s="15" t="n">
        <x:v>1457</x:v>
      </x:c>
      <x:c r="P196" s="15" t="n">
        <x:v>410</x:v>
      </x:c>
      <x:c r="Q196" s="13" t="str">
        <x:v>NO_LARGE_TAIL_GAP</x:v>
      </x:c>
      <x:c r="R196" s="13" t="str"/>
      <x:c r="S196" s="16" t="n">
        <x:v>0</x:v>
      </x:c>
      <x:c r="T196" s="13" t="str">
        <x:v>6940556ea01caec48f2d93c71799b779327e53fff421ad2eebe8ac5ee34cee2a</x:v>
      </x:c>
    </x:row>
    <x:row r="197" ht="15" hidden="0" customHeight="1">
      <x:c r="A197" s="13" t="str">
        <x:v>GQb9daOLjmg</x:v>
      </x:c>
      <x:c r="B197" s="13" t="str">
        <x:v>AAPL Stock Top? 6-24-20 | Best Stock Picks Today</x:v>
      </x:c>
      <x:c r="C197" s="14" t="d">
        <x:v>2020-06-24T00:00:00.000Z</x:v>
      </x:c>
      <x:c r="D197" s="18" t="e">
        <x:f>HYPERLINK("https://www.youtube.com/watch?v=GQb9daOLjmg","Watch video")</x:f>
        <x:v>HYPERLINK is not implemented. linkLocation=https://www.youtube.com/watch?v=GQb9daOLjmg, friendlyName=Watch video</x:v>
      </x:c>
      <x:c r="E197" s="18" t="e">
        <x:f>HYPERLINK("transcripts/GQb9daOLjmg.html","Complete transcript")</x:f>
        <x:v>HYPERLINK is not implemented. linkLocation=transcripts/GQb9daOLjmg.html, friendlyName=Complete transcript</x:v>
      </x:c>
      <x:c r="F197" s="13" t="str">
        <x:v>UNKNOWN_REQUIRES_REVIEW</x:v>
      </x:c>
      <x:c r="G197" s="17" t="str">
        <x:v>UNREVIEWED</x:v>
      </x:c>
      <x:c r="H197" s="17" t="str"/>
      <x:c r="I197" s="17" t="str"/>
      <x:c r="J197" s="17" t="str"/>
      <x:c r="K197" s="17" t="str"/>
      <x:c r="L197" s="17" t="str"/>
      <x:c r="M197" s="17" t="str">
        <x:v>PENDING WHOLE-VIDEO REVIEW</x:v>
      </x:c>
      <x:c r="N197" s="15" t="n">
        <x:v>287</x:v>
      </x:c>
      <x:c r="O197" s="15" t="n">
        <x:v>2096</x:v>
      </x:c>
      <x:c r="P197" s="15" t="n">
        <x:v>590</x:v>
      </x:c>
      <x:c r="Q197" s="13" t="str">
        <x:v>NO_LARGE_TAIL_GAP</x:v>
      </x:c>
      <x:c r="R197" s="13" t="str"/>
      <x:c r="S197" s="16" t="n">
        <x:v>0</x:v>
      </x:c>
      <x:c r="T197" s="13" t="str">
        <x:v>bb10617b4f3fe1e1b25867e08f21890024053c1407feb70c24271737673a51cc</x:v>
      </x:c>
    </x:row>
    <x:row r="198" ht="15" hidden="0" customHeight="1">
      <x:c r="A198" s="13" t="str">
        <x:v>GUFwStmeqlc</x:v>
      </x:c>
      <x:c r="B198" s="13" t="str">
        <x:v>Trading Plan End of Day Review 4.30.15 | Stocks to Trade</x:v>
      </x:c>
      <x:c r="C198" s="14" t="d">
        <x:v>2015-04-30T00:00:00.000Z</x:v>
      </x:c>
      <x:c r="D198" s="18" t="e">
        <x:f>HYPERLINK("https://www.youtube.com/watch?v=GUFwStmeqlc","Watch video")</x:f>
        <x:v>HYPERLINK is not implemented. linkLocation=https://www.youtube.com/watch?v=GUFwStmeqlc, friendlyName=Watch video</x:v>
      </x:c>
      <x:c r="E198" s="18" t="e">
        <x:f>HYPERLINK("transcripts/GUFwStmeqlc.html","Complete transcript")</x:f>
        <x:v>HYPERLINK is not implemented. linkLocation=transcripts/GUFwStmeqlc.html, friendlyName=Complete transcript</x:v>
      </x:c>
      <x:c r="F198" s="13" t="str">
        <x:v>UNKNOWN_REQUIRES_REVIEW</x:v>
      </x:c>
      <x:c r="G198" s="17" t="str">
        <x:v>UNREVIEWED</x:v>
      </x:c>
      <x:c r="H198" s="17" t="str"/>
      <x:c r="I198" s="17" t="str"/>
      <x:c r="J198" s="17" t="str"/>
      <x:c r="K198" s="17" t="str"/>
      <x:c r="L198" s="17" t="str"/>
      <x:c r="M198" s="17" t="str">
        <x:v>PENDING WHOLE-VIDEO REVIEW</x:v>
      </x:c>
      <x:c r="N198" s="15" t="n">
        <x:v>384</x:v>
      </x:c>
      <x:c r="O198" s="15" t="n">
        <x:v>2795</x:v>
      </x:c>
      <x:c r="P198" s="15" t="n">
        <x:v>807</x:v>
      </x:c>
      <x:c r="Q198" s="13" t="str">
        <x:v>NO_LARGE_TAIL_GAP</x:v>
      </x:c>
      <x:c r="R198" s="13" t="str"/>
      <x:c r="S198" s="16" t="n">
        <x:v>0</x:v>
      </x:c>
      <x:c r="T198" s="13" t="str">
        <x:v>942e3e3b9d0a806af27ae38702056dccf04350a087ba0fc9d3f44222466095be</x:v>
      </x:c>
    </x:row>
    <x:row r="199" ht="15" hidden="0" customHeight="1">
      <x:c r="A199" s="13" t="str">
        <x:v>GUN1hJHM4Os</x:v>
      </x:c>
      <x:c r="B199" s="13" t="str">
        <x:v>Airline Stocks 6-5-20 | Best Stock Picks Today</x:v>
      </x:c>
      <x:c r="C199" s="14" t="d">
        <x:v>2020-06-05T00:00:00.000Z</x:v>
      </x:c>
      <x:c r="D199" s="18" t="e">
        <x:f>HYPERLINK("https://www.youtube.com/watch?v=GUN1hJHM4Os","Watch video")</x:f>
        <x:v>HYPERLINK is not implemented. linkLocation=https://www.youtube.com/watch?v=GUN1hJHM4Os, friendlyName=Watch video</x:v>
      </x:c>
      <x:c r="E199" s="18" t="e">
        <x:f>HYPERLINK("transcripts/GUN1hJHM4Os.html","Complete transcript")</x:f>
        <x:v>HYPERLINK is not implemented. linkLocation=transcripts/GUN1hJHM4Os.html, friendlyName=Complete transcript</x:v>
      </x:c>
      <x:c r="F199" s="13" t="str">
        <x:v>UNKNOWN_REQUIRES_REVIEW</x:v>
      </x:c>
      <x:c r="G199" s="17" t="str">
        <x:v>UNREVIEWED</x:v>
      </x:c>
      <x:c r="H199" s="17" t="str"/>
      <x:c r="I199" s="17" t="str"/>
      <x:c r="J199" s="17" t="str"/>
      <x:c r="K199" s="17" t="str"/>
      <x:c r="L199" s="17" t="str"/>
      <x:c r="M199" s="17" t="str">
        <x:v>PENDING WHOLE-VIDEO REVIEW</x:v>
      </x:c>
      <x:c r="N199" s="15" t="n">
        <x:v>375</x:v>
      </x:c>
      <x:c r="O199" s="15" t="n">
        <x:v>2753</x:v>
      </x:c>
      <x:c r="P199" s="15" t="n">
        <x:v>773</x:v>
      </x:c>
      <x:c r="Q199" s="13" t="str">
        <x:v>NO_LARGE_TAIL_GAP</x:v>
      </x:c>
      <x:c r="R199" s="13" t="str"/>
      <x:c r="S199" s="16" t="n">
        <x:v>0</x:v>
      </x:c>
      <x:c r="T199" s="13" t="str">
        <x:v>c1632a68d779d691f4003577d7bdce7c7d749afdb7f72c6a47b700f5a1d4c7ad</x:v>
      </x:c>
    </x:row>
    <x:row r="200" ht="15" hidden="0" customHeight="1">
      <x:c r="A200" s="13" t="str">
        <x:v>GUuhYeEA_hQ</x:v>
      </x:c>
      <x:c r="B200" s="13" t="str">
        <x:v>Stock Market Prediction - How to See the Future</x:v>
      </x:c>
      <x:c r="C200" s="14" t="d">
        <x:v>2022-05-10T00:00:00.000Z</x:v>
      </x:c>
      <x:c r="D200" s="18" t="e">
        <x:f>HYPERLINK("https://www.youtube.com/watch?v=GUuhYeEA_hQ","Watch video")</x:f>
        <x:v>HYPERLINK is not implemented. linkLocation=https://www.youtube.com/watch?v=GUuhYeEA_hQ, friendlyName=Watch video</x:v>
      </x:c>
      <x:c r="E200" s="18" t="e">
        <x:f>HYPERLINK("transcripts/GUuhYeEA_hQ.html","Complete transcript")</x:f>
        <x:v>HYPERLINK is not implemented. linkLocation=transcripts/GUuhYeEA_hQ.html, friendlyName=Complete transcript</x:v>
      </x:c>
      <x:c r="F200" s="13" t="str">
        <x:v>PETE_EXPLICIT</x:v>
      </x:c>
      <x:c r="G200" s="17" t="str">
        <x:v>UNREVIEWED</x:v>
      </x:c>
      <x:c r="H200" s="17" t="str"/>
      <x:c r="I200" s="17" t="str"/>
      <x:c r="J200" s="17" t="str"/>
      <x:c r="K200" s="17" t="str"/>
      <x:c r="L200" s="17" t="str"/>
      <x:c r="M200" s="17" t="str">
        <x:v>PENDING WHOLE-VIDEO REVIEW</x:v>
      </x:c>
      <x:c r="N200" s="15" t="n">
        <x:v>227</x:v>
      </x:c>
      <x:c r="O200" s="15" t="n">
        <x:v>1236</x:v>
      </x:c>
      <x:c r="P200" s="15" t="n">
        <x:v>478</x:v>
      </x:c>
      <x:c r="Q200" s="13" t="str">
        <x:v>NO_LARGE_TAIL_GAP</x:v>
      </x:c>
      <x:c r="R200" s="13" t="str"/>
      <x:c r="S200" s="16" t="n">
        <x:v>0</x:v>
      </x:c>
      <x:c r="T200" s="13" t="str">
        <x:v>a13a68415c25ea0a803941687db798e75d239ab4c45466ae56b366371e9ddbd4</x:v>
      </x:c>
    </x:row>
    <x:row r="201" ht="15" hidden="0" customHeight="1">
      <x:c r="A201" s="13" t="str">
        <x:v>GbZVsXxL4Fs</x:v>
      </x:c>
      <x:c r="B201" s="13" t="str">
        <x:v>TradingView Tutorial 2022 + Tradingview Strategy</x:v>
      </x:c>
      <x:c r="C201" s="14" t="d">
        <x:v>2022-03-10T00:00:00.000Z</x:v>
      </x:c>
      <x:c r="D201" s="18" t="e">
        <x:f>HYPERLINK("https://www.youtube.com/watch?v=GbZVsXxL4Fs","Watch video")</x:f>
        <x:v>HYPERLINK is not implemented. linkLocation=https://www.youtube.com/watch?v=GbZVsXxL4Fs, friendlyName=Watch video</x:v>
      </x:c>
      <x:c r="E201" s="18" t="e">
        <x:f>HYPERLINK("transcripts/GbZVsXxL4Fs.html","Complete transcript")</x:f>
        <x:v>HYPERLINK is not implemented. linkLocation=transcripts/GbZVsXxL4Fs.html, friendlyName=Complete transcript</x:v>
      </x:c>
      <x:c r="F201" s="13" t="str">
        <x:v>PETE_EXPLICIT</x:v>
      </x:c>
      <x:c r="G201" s="17" t="str">
        <x:v>UNREVIEWED</x:v>
      </x:c>
      <x:c r="H201" s="17" t="str"/>
      <x:c r="I201" s="17" t="str"/>
      <x:c r="J201" s="17" t="str"/>
      <x:c r="K201" s="17" t="str"/>
      <x:c r="L201" s="17" t="str"/>
      <x:c r="M201" s="17" t="str">
        <x:v>PENDING WHOLE-VIDEO REVIEW</x:v>
      </x:c>
      <x:c r="N201" s="15" t="n">
        <x:v>792</x:v>
      </x:c>
      <x:c r="O201" s="15" t="n">
        <x:v>5660</x:v>
      </x:c>
      <x:c r="P201" s="15" t="n">
        <x:v>1594</x:v>
      </x:c>
      <x:c r="Q201" s="13" t="str">
        <x:v>NO_LARGE_TAIL_GAP</x:v>
      </x:c>
      <x:c r="R201" s="13" t="str"/>
      <x:c r="S201" s="16" t="n">
        <x:v>0</x:v>
      </x:c>
      <x:c r="T201" s="13" t="str">
        <x:v>9d6cffad431525e1c9f1b5535fb66b16bd92e95fddf5c7f2a1845e94bd62307f</x:v>
      </x:c>
    </x:row>
    <x:row r="202" ht="15" hidden="0" customHeight="1">
      <x:c r="A202" s="13" t="str">
        <x:v>GbnhEyK3qNw</x:v>
      </x:c>
      <x:c r="B202" s="13" t="str">
        <x:v>My Proven Blueprint To Pick The Right Stocks (Every Trade)</x:v>
      </x:c>
      <x:c r="C202" s="14" t="d">
        <x:v>2024-11-22T00:00:00.000Z</x:v>
      </x:c>
      <x:c r="D202" s="18" t="e">
        <x:f>HYPERLINK("https://www.youtube.com/watch?v=GbnhEyK3qNw","Watch video")</x:f>
        <x:v>HYPERLINK is not implemented. linkLocation=https://www.youtube.com/watch?v=GbnhEyK3qNw, friendlyName=Watch video</x:v>
      </x:c>
      <x:c r="E202" s="18" t="e">
        <x:f>HYPERLINK("transcripts/GbnhEyK3qNw.html","Complete transcript")</x:f>
        <x:v>HYPERLINK is not implemented. linkLocation=transcripts/GbnhEyK3qNw.html, friendlyName=Complete transcript</x:v>
      </x:c>
      <x:c r="F202" s="13" t="str">
        <x:v>PETE_EXPLICIT</x:v>
      </x:c>
      <x:c r="G202" s="17" t="str">
        <x:v>UNREVIEWED</x:v>
      </x:c>
      <x:c r="H202" s="17" t="str"/>
      <x:c r="I202" s="17" t="str"/>
      <x:c r="J202" s="17" t="str"/>
      <x:c r="K202" s="17" t="str"/>
      <x:c r="L202" s="17" t="str"/>
      <x:c r="M202" s="17" t="str">
        <x:v>PENDING WHOLE-VIDEO REVIEW</x:v>
      </x:c>
      <x:c r="N202" s="15" t="n">
        <x:v>1037</x:v>
      </x:c>
      <x:c r="O202" s="15" t="n">
        <x:v>7609</x:v>
      </x:c>
      <x:c r="P202" s="15" t="n">
        <x:v>2318</x:v>
      </x:c>
      <x:c r="Q202" s="13" t="str">
        <x:v>NO_LARGE_TAIL_GAP</x:v>
      </x:c>
      <x:c r="R202" s="13" t="str"/>
      <x:c r="S202" s="16" t="n">
        <x:v>0</x:v>
      </x:c>
      <x:c r="T202" s="13" t="str">
        <x:v>69923fa1c15a39101f97c93c4b702147161272cb062cb6f567528c68ec85e67d</x:v>
      </x:c>
    </x:row>
    <x:row r="203" ht="15" hidden="0" customHeight="1">
      <x:c r="A203" s="13" t="str">
        <x:v>GcKRFLnD7h8</x:v>
      </x:c>
      <x:c r="B203" s="13" t="str">
        <x:v>How to Instantly Spot the Best Stocks to Trade</x:v>
      </x:c>
      <x:c r="C203" s="14" t="d">
        <x:v>2015-09-23T00:00:00.000Z</x:v>
      </x:c>
      <x:c r="D203" s="18" t="e">
        <x:f>HYPERLINK("https://www.youtube.com/watch?v=GcKRFLnD7h8","Watch video")</x:f>
        <x:v>HYPERLINK is not implemented. linkLocation=https://www.youtube.com/watch?v=GcKRFLnD7h8, friendlyName=Watch video</x:v>
      </x:c>
      <x:c r="E203" s="18" t="e">
        <x:f>HYPERLINK("transcripts/GcKRFLnD7h8.html","Complete transcript")</x:f>
        <x:v>HYPERLINK is not implemented. linkLocation=transcripts/GcKRFLnD7h8.html, friendlyName=Complete transcript</x:v>
      </x:c>
      <x:c r="F203" s="13" t="str">
        <x:v>UNKNOWN_REQUIRES_REVIEW</x:v>
      </x:c>
      <x:c r="G203" s="17" t="str">
        <x:v>UNREVIEWED</x:v>
      </x:c>
      <x:c r="H203" s="17" t="str"/>
      <x:c r="I203" s="17" t="str"/>
      <x:c r="J203" s="17" t="str"/>
      <x:c r="K203" s="17" t="str"/>
      <x:c r="L203" s="17" t="str"/>
      <x:c r="M203" s="17" t="str">
        <x:v>PENDING WHOLE-VIDEO REVIEW</x:v>
      </x:c>
      <x:c r="N203" s="15" t="n">
        <x:v>567</x:v>
      </x:c>
      <x:c r="O203" s="15" t="n">
        <x:v>4174</x:v>
      </x:c>
      <x:c r="P203" s="15" t="n">
        <x:v>1173</x:v>
      </x:c>
      <x:c r="Q203" s="13" t="str">
        <x:v>NO_LARGE_TAIL_GAP</x:v>
      </x:c>
      <x:c r="R203" s="13" t="str"/>
      <x:c r="S203" s="16" t="n">
        <x:v>0</x:v>
      </x:c>
      <x:c r="T203" s="13" t="str">
        <x:v>53eb053fea16b93be220f2416ee2437ce150faa71a8b8511748e00cb2e0f133b</x:v>
      </x:c>
    </x:row>
    <x:row r="204" ht="15" hidden="0" customHeight="1">
      <x:c r="A204" s="13" t="str">
        <x:v>Gex6VupPIo0</x:v>
      </x:c>
      <x:c r="B204" s="13" t="str">
        <x:v>Trading UPS Earnings | Best Stock Picks Today 10-28-20</x:v>
      </x:c>
      <x:c r="C204" s="14" t="d">
        <x:v>2020-10-28T00:00:00.000Z</x:v>
      </x:c>
      <x:c r="D204" s="18" t="e">
        <x:f>HYPERLINK("https://www.youtube.com/watch?v=Gex6VupPIo0","Watch video")</x:f>
        <x:v>HYPERLINK is not implemented. linkLocation=https://www.youtube.com/watch?v=Gex6VupPIo0, friendlyName=Watch video</x:v>
      </x:c>
      <x:c r="E204" s="18" t="e">
        <x:f>HYPERLINK("transcripts/Gex6VupPIo0.html","Complete transcript")</x:f>
        <x:v>HYPERLINK is not implemented. linkLocation=transcripts/Gex6VupPIo0.html, friendlyName=Complete transcript</x:v>
      </x:c>
      <x:c r="F204" s="13" t="str">
        <x:v>PETE_EXPLICIT</x:v>
      </x:c>
      <x:c r="G204" s="17" t="str">
        <x:v>UNREVIEWED</x:v>
      </x:c>
      <x:c r="H204" s="17" t="str"/>
      <x:c r="I204" s="17" t="str"/>
      <x:c r="J204" s="17" t="str"/>
      <x:c r="K204" s="17" t="str"/>
      <x:c r="L204" s="17" t="str"/>
      <x:c r="M204" s="17" t="str">
        <x:v>PENDING WHOLE-VIDEO REVIEW</x:v>
      </x:c>
      <x:c r="N204" s="15" t="n">
        <x:v>359</x:v>
      </x:c>
      <x:c r="O204" s="15" t="n">
        <x:v>2173</x:v>
      </x:c>
      <x:c r="P204" s="15" t="n">
        <x:v>629</x:v>
      </x:c>
      <x:c r="Q204" s="13" t="str">
        <x:v>NO_LARGE_TAIL_GAP</x:v>
      </x:c>
      <x:c r="R204" s="13" t="str"/>
      <x:c r="S204" s="16" t="n">
        <x:v>0</x:v>
      </x:c>
      <x:c r="T204" s="13" t="str">
        <x:v>5f24f7e851473aa69b9369f609dc72b939ac3783ed864eb20423348cda313458</x:v>
      </x:c>
    </x:row>
    <x:row r="205" ht="15" hidden="0" customHeight="1">
      <x:c r="A205" s="13" t="str">
        <x:v>GgZTxBsB3sQ</x:v>
      </x:c>
      <x:c r="B205" s="13" t="str">
        <x:v>ROKU Stock 6-17-20 | Best Stock Picks Today</x:v>
      </x:c>
      <x:c r="C205" s="14" t="d">
        <x:v>2020-06-17T00:00:00.000Z</x:v>
      </x:c>
      <x:c r="D205" s="18" t="e">
        <x:f>HYPERLINK("https://www.youtube.com/watch?v=GgZTxBsB3sQ","Watch video")</x:f>
        <x:v>HYPERLINK is not implemented. linkLocation=https://www.youtube.com/watch?v=GgZTxBsB3sQ, friendlyName=Watch video</x:v>
      </x:c>
      <x:c r="E205" s="18" t="e">
        <x:f>HYPERLINK("transcripts/GgZTxBsB3sQ.html","Complete transcript")</x:f>
        <x:v>HYPERLINK is not implemented. linkLocation=transcripts/GgZTxBsB3sQ.html, friendlyName=Complete transcript</x:v>
      </x:c>
      <x:c r="F205" s="13" t="str">
        <x:v>UNKNOWN_REQUIRES_REVIEW</x:v>
      </x:c>
      <x:c r="G205" s="17" t="str">
        <x:v>UNREVIEWED</x:v>
      </x:c>
      <x:c r="H205" s="17" t="str"/>
      <x:c r="I205" s="17" t="str"/>
      <x:c r="J205" s="17" t="str"/>
      <x:c r="K205" s="17" t="str"/>
      <x:c r="L205" s="17" t="str"/>
      <x:c r="M205" s="17" t="str">
        <x:v>PENDING WHOLE-VIDEO REVIEW</x:v>
      </x:c>
      <x:c r="N205" s="15" t="n">
        <x:v>496</x:v>
      </x:c>
      <x:c r="O205" s="15" t="n">
        <x:v>3622</x:v>
      </x:c>
      <x:c r="P205" s="15" t="n">
        <x:v>1004</x:v>
      </x:c>
      <x:c r="Q205" s="13" t="str">
        <x:v>NO_LARGE_TAIL_GAP</x:v>
      </x:c>
      <x:c r="R205" s="13" t="str"/>
      <x:c r="S205" s="16" t="n">
        <x:v>0</x:v>
      </x:c>
      <x:c r="T205" s="13" t="str">
        <x:v>0c774428ea2683eaa1c516c080cc35b7193b7a1767844c6ebaab44acdf16fadb</x:v>
      </x:c>
    </x:row>
    <x:row r="206" ht="15" hidden="0" customHeight="1">
      <x:c r="A206" s="13" t="str">
        <x:v>Gk9hOBsw8UQ</x:v>
      </x:c>
      <x:c r="B206" s="13" t="str">
        <x:v>Level 2 Data Is Ancient History</x:v>
      </x:c>
      <x:c r="C206" s="14" t="d">
        <x:v>2025-08-08T00:00:00.000Z</x:v>
      </x:c>
      <x:c r="D206" s="18" t="e">
        <x:f>HYPERLINK("https://www.youtube.com/watch?v=Gk9hOBsw8UQ","Watch video")</x:f>
        <x:v>HYPERLINK is not implemented. linkLocation=https://www.youtube.com/watch?v=Gk9hOBsw8UQ, friendlyName=Watch video</x:v>
      </x:c>
      <x:c r="E206" s="18" t="e">
        <x:f>HYPERLINK("transcripts/Gk9hOBsw8UQ.html","Complete transcript")</x:f>
        <x:v>HYPERLINK is not implemented. linkLocation=transcripts/Gk9hOBsw8UQ.html, friendlyName=Complete transcript</x:v>
      </x:c>
      <x:c r="F206" s="13" t="str">
        <x:v>PETE_EXPLICIT</x:v>
      </x:c>
      <x:c r="G206" s="17" t="str">
        <x:v>UNREVIEWED</x:v>
      </x:c>
      <x:c r="H206" s="17" t="str"/>
      <x:c r="I206" s="17" t="str"/>
      <x:c r="J206" s="17" t="str"/>
      <x:c r="K206" s="17" t="str"/>
      <x:c r="L206" s="17" t="str"/>
      <x:c r="M206" s="17" t="str">
        <x:v>PENDING WHOLE-VIDEO REVIEW</x:v>
      </x:c>
      <x:c r="N206" s="15" t="n">
        <x:v>1764</x:v>
      </x:c>
      <x:c r="O206" s="15" t="n">
        <x:v>12901</x:v>
      </x:c>
      <x:c r="P206" s="15" t="n">
        <x:v>3369</x:v>
      </x:c>
      <x:c r="Q206" s="13" t="str">
        <x:v>NO_LARGE_TAIL_GAP</x:v>
      </x:c>
      <x:c r="R206" s="13" t="str"/>
      <x:c r="S206" s="16" t="n">
        <x:v>0</x:v>
      </x:c>
      <x:c r="T206" s="13" t="str">
        <x:v>51819c47945db8daf5c98af940f5ea1f05950784bb497dfaf2eaaf6a2717d956</x:v>
      </x:c>
    </x:row>
    <x:row r="207" ht="15" hidden="0" customHeight="1">
      <x:c r="A207" s="13" t="str">
        <x:v>GlCMGEb4378</x:v>
      </x:c>
      <x:c r="B207" s="13" t="str">
        <x:v>Stocks for Breakfast 3 2 20 | Favorite Chart Setup | Trading Stocks</x:v>
      </x:c>
      <x:c r="C207" s="14" t="d">
        <x:v>2020-03-02T00:00:00.000Z</x:v>
      </x:c>
      <x:c r="D207" s="18" t="e">
        <x:f>HYPERLINK("https://www.youtube.com/watch?v=GlCMGEb4378","Watch video")</x:f>
        <x:v>HYPERLINK is not implemented. linkLocation=https://www.youtube.com/watch?v=GlCMGEb4378, friendlyName=Watch video</x:v>
      </x:c>
      <x:c r="E207" s="18" t="e">
        <x:f>HYPERLINK("transcripts/GlCMGEb4378.html","Complete transcript")</x:f>
        <x:v>HYPERLINK is not implemented. linkLocation=transcripts/GlCMGEb4378.html, friendlyName=Complete transcript</x:v>
      </x:c>
      <x:c r="F207" s="13" t="str">
        <x:v>UNKNOWN_REQUIRES_REVIEW</x:v>
      </x:c>
      <x:c r="G207" s="17" t="str">
        <x:v>UNREVIEWED</x:v>
      </x:c>
      <x:c r="H207" s="17" t="str"/>
      <x:c r="I207" s="17" t="str"/>
      <x:c r="J207" s="17" t="str"/>
      <x:c r="K207" s="17" t="str"/>
      <x:c r="L207" s="17" t="str"/>
      <x:c r="M207" s="17" t="str">
        <x:v>PENDING WHOLE-VIDEO REVIEW</x:v>
      </x:c>
      <x:c r="N207" s="15" t="n">
        <x:v>619</x:v>
      </x:c>
      <x:c r="O207" s="15" t="n">
        <x:v>4421</x:v>
      </x:c>
      <x:c r="P207" s="15" t="n">
        <x:v>1336</x:v>
      </x:c>
      <x:c r="Q207" s="13" t="str">
        <x:v>NO_LARGE_TAIL_GAP</x:v>
      </x:c>
      <x:c r="R207" s="13" t="str"/>
      <x:c r="S207" s="16" t="n">
        <x:v>0</x:v>
      </x:c>
      <x:c r="T207" s="13" t="str">
        <x:v>1c47ef1278f9b159028d7189624aa683e0ac5dec9d1388d87478ce075117aaff</x:v>
      </x:c>
    </x:row>
    <x:row r="208" ht="15" hidden="0" customHeight="1">
      <x:c r="A208" s="13" t="str">
        <x:v>GsSsSyT6zXo</x:v>
      </x:c>
      <x:c r="B208" s="13" t="str">
        <x:v>Day Trading to Win | 5-8-20 Stocks for Breakfast</x:v>
      </x:c>
      <x:c r="C208" s="14" t="d">
        <x:v>2020-05-08T00:00:00.000Z</x:v>
      </x:c>
      <x:c r="D208" s="18" t="e">
        <x:f>HYPERLINK("https://www.youtube.com/watch?v=GsSsSyT6zXo","Watch video")</x:f>
        <x:v>HYPERLINK is not implemented. linkLocation=https://www.youtube.com/watch?v=GsSsSyT6zXo, friendlyName=Watch video</x:v>
      </x:c>
      <x:c r="E208" s="18" t="e">
        <x:f>HYPERLINK("transcripts/GsSsSyT6zXo.html","Complete transcript")</x:f>
        <x:v>HYPERLINK is not implemented. linkLocation=transcripts/GsSsSyT6zXo.html, friendlyName=Complete transcript</x:v>
      </x:c>
      <x:c r="F208" s="13" t="str">
        <x:v>UNKNOWN_REQUIRES_REVIEW</x:v>
      </x:c>
      <x:c r="G208" s="17" t="str">
        <x:v>UNREVIEWED</x:v>
      </x:c>
      <x:c r="H208" s="17" t="str"/>
      <x:c r="I208" s="17" t="str"/>
      <x:c r="J208" s="17" t="str"/>
      <x:c r="K208" s="17" t="str"/>
      <x:c r="L208" s="17" t="str"/>
      <x:c r="M208" s="17" t="str">
        <x:v>PENDING WHOLE-VIDEO REVIEW</x:v>
      </x:c>
      <x:c r="N208" s="15" t="n">
        <x:v>407</x:v>
      </x:c>
      <x:c r="O208" s="15" t="n">
        <x:v>2952</x:v>
      </x:c>
      <x:c r="P208" s="15" t="n">
        <x:v>908</x:v>
      </x:c>
      <x:c r="Q208" s="13" t="str">
        <x:v>NO_LARGE_TAIL_GAP</x:v>
      </x:c>
      <x:c r="R208" s="13" t="str"/>
      <x:c r="S208" s="16" t="n">
        <x:v>0</x:v>
      </x:c>
      <x:c r="T208" s="13" t="str">
        <x:v>6f941d2b7172f98959838a430594635cf96df1eae551b08d93f513ffcbf3e6bd</x:v>
      </x:c>
    </x:row>
    <x:row r="209" ht="15" hidden="0" customHeight="1">
      <x:c r="A209" s="13" t="str">
        <x:v>Gvr0OodIhJU</x:v>
      </x:c>
      <x:c r="B209" s="13" t="str">
        <x:v>Options Trader Pro Tip | Why YOU Should Invest in Yourself and Gain Lifelong Skills</x:v>
      </x:c>
      <x:c r="C209" s="14" t="d">
        <x:v>2024-07-09T00:00:00.000Z</x:v>
      </x:c>
      <x:c r="D209" s="18" t="e">
        <x:f>HYPERLINK("https://www.youtube.com/watch?v=Gvr0OodIhJU","Watch video")</x:f>
        <x:v>HYPERLINK is not implemented. linkLocation=https://www.youtube.com/watch?v=Gvr0OodIhJU, friendlyName=Watch video</x:v>
      </x:c>
      <x:c r="E209" s="18" t="e">
        <x:f>HYPERLINK("transcripts/Gvr0OodIhJU.html","Complete transcript")</x:f>
        <x:v>HYPERLINK is not implemented. linkLocation=transcripts/Gvr0OodIhJU.html, friendlyName=Complete transcript</x:v>
      </x:c>
      <x:c r="F209" s="13" t="str">
        <x:v>UNKNOWN_REQUIRES_REVIEW</x:v>
      </x:c>
      <x:c r="G209" s="17" t="str">
        <x:v>UNREVIEWED</x:v>
      </x:c>
      <x:c r="H209" s="17" t="str"/>
      <x:c r="I209" s="17" t="str"/>
      <x:c r="J209" s="17" t="str"/>
      <x:c r="K209" s="17" t="str"/>
      <x:c r="L209" s="17" t="str"/>
      <x:c r="M209" s="17" t="str">
        <x:v>PENDING WHOLE-VIDEO REVIEW</x:v>
      </x:c>
      <x:c r="N209" s="15" t="n">
        <x:v>140</x:v>
      </x:c>
      <x:c r="O209" s="15" t="n">
        <x:v>997</x:v>
      </x:c>
      <x:c r="P209" s="15" t="n">
        <x:v>282</x:v>
      </x:c>
      <x:c r="Q209" s="13" t="str">
        <x:v>NO_LARGE_TAIL_GAP</x:v>
      </x:c>
      <x:c r="R209" s="13" t="str"/>
      <x:c r="S209" s="16" t="n">
        <x:v>0</x:v>
      </x:c>
      <x:c r="T209" s="13" t="str">
        <x:v>055f274ef746d0ca07e574366e3df87e76ba3c355055febe5d87e43c77e616f3</x:v>
      </x:c>
    </x:row>
    <x:row r="210" ht="15" hidden="0" customHeight="1">
      <x:c r="A210" s="13" t="str">
        <x:v>Gx3eOicT7ME</x:v>
      </x:c>
      <x:c r="B210" s="13" t="str">
        <x:v>Options Trading Basics: Day Trade Options and Use Less Capital!</x:v>
      </x:c>
      <x:c r="C210" s="14" t="d">
        <x:v>2024-07-09T00:00:00.000Z</x:v>
      </x:c>
      <x:c r="D210" s="18" t="e">
        <x:f>HYPERLINK("https://www.youtube.com/watch?v=Gx3eOicT7ME","Watch video")</x:f>
        <x:v>HYPERLINK is not implemented. linkLocation=https://www.youtube.com/watch?v=Gx3eOicT7ME, friendlyName=Watch video</x:v>
      </x:c>
      <x:c r="E210" s="18" t="e">
        <x:f>HYPERLINK("transcripts/Gx3eOicT7ME.html","Complete transcript")</x:f>
        <x:v>HYPERLINK is not implemented. linkLocation=transcripts/Gx3eOicT7ME.html, friendlyName=Complete transcript</x:v>
      </x:c>
      <x:c r="F210" s="13" t="str">
        <x:v>UNKNOWN_REQUIRES_REVIEW</x:v>
      </x:c>
      <x:c r="G210" s="17" t="str">
        <x:v>UNREVIEWED</x:v>
      </x:c>
      <x:c r="H210" s="17" t="str"/>
      <x:c r="I210" s="17" t="str"/>
      <x:c r="J210" s="17" t="str"/>
      <x:c r="K210" s="17" t="str"/>
      <x:c r="L210" s="17" t="str"/>
      <x:c r="M210" s="17" t="str">
        <x:v>PENDING WHOLE-VIDEO REVIEW</x:v>
      </x:c>
      <x:c r="N210" s="15" t="n">
        <x:v>206</x:v>
      </x:c>
      <x:c r="O210" s="15" t="n">
        <x:v>1558</x:v>
      </x:c>
      <x:c r="P210" s="15" t="n">
        <x:v>457</x:v>
      </x:c>
      <x:c r="Q210" s="13" t="str">
        <x:v>NO_LARGE_TAIL_GAP</x:v>
      </x:c>
      <x:c r="R210" s="13" t="str"/>
      <x:c r="S210" s="16" t="n">
        <x:v>0</x:v>
      </x:c>
      <x:c r="T210" s="13" t="str">
        <x:v>3977870b5a7c9222752c2452f6b98451a6ce9a76fb7c544b10c2b362e4fdc964</x:v>
      </x:c>
    </x:row>
    <x:row r="211" ht="15" hidden="0" customHeight="1">
      <x:c r="A211" s="13" t="str">
        <x:v>HDh7AOoB7cw</x:v>
      </x:c>
      <x:c r="B211" s="13" t="str">
        <x:v>How to Trade the Right Stocks 8-24-20</x:v>
      </x:c>
      <x:c r="C211" s="14" t="d">
        <x:v>2020-08-24T00:00:00.000Z</x:v>
      </x:c>
      <x:c r="D211" s="18" t="e">
        <x:f>HYPERLINK("https://www.youtube.com/watch?v=HDh7AOoB7cw","Watch video")</x:f>
        <x:v>HYPERLINK is not implemented. linkLocation=https://www.youtube.com/watch?v=HDh7AOoB7cw, friendlyName=Watch video</x:v>
      </x:c>
      <x:c r="E211" s="18" t="e">
        <x:f>HYPERLINK("transcripts/HDh7AOoB7cw.html","Complete transcript")</x:f>
        <x:v>HYPERLINK is not implemented. linkLocation=transcripts/HDh7AOoB7cw.html, friendlyName=Complete transcript</x:v>
      </x:c>
      <x:c r="F211" s="13" t="str">
        <x:v>PETE_EXPLICIT</x:v>
      </x:c>
      <x:c r="G211" s="17" t="str">
        <x:v>UNREVIEWED</x:v>
      </x:c>
      <x:c r="H211" s="17" t="str"/>
      <x:c r="I211" s="17" t="str"/>
      <x:c r="J211" s="17" t="str"/>
      <x:c r="K211" s="17" t="str"/>
      <x:c r="L211" s="17" t="str"/>
      <x:c r="M211" s="17" t="str">
        <x:v>PENDING WHOLE-VIDEO REVIEW</x:v>
      </x:c>
      <x:c r="N211" s="15" t="n">
        <x:v>386</x:v>
      </x:c>
      <x:c r="O211" s="15" t="n">
        <x:v>2381</x:v>
      </x:c>
      <x:c r="P211" s="15" t="n">
        <x:v>705</x:v>
      </x:c>
      <x:c r="Q211" s="13" t="str">
        <x:v>NO_LARGE_TAIL_GAP</x:v>
      </x:c>
      <x:c r="R211" s="13" t="str"/>
      <x:c r="S211" s="16" t="n">
        <x:v>0</x:v>
      </x:c>
      <x:c r="T211" s="13" t="str">
        <x:v>68728957dc79e4d7621c610257e38de3920e77286841e3c94142dc2f740956f7</x:v>
      </x:c>
    </x:row>
    <x:row r="212" ht="15" hidden="0" customHeight="1">
      <x:c r="A212" s="13" t="str">
        <x:v>HEHhx7VmddY</x:v>
      </x:c>
      <x:c r="B212" s="13" t="str">
        <x:v>Trade Management For Consistent Profits</x:v>
      </x:c>
      <x:c r="C212" s="14" t="d">
        <x:v>2020-07-02T00:00:00.000Z</x:v>
      </x:c>
      <x:c r="D212" s="18" t="e">
        <x:f>HYPERLINK("https://www.youtube.com/watch?v=HEHhx7VmddY","Watch video")</x:f>
        <x:v>HYPERLINK is not implemented. linkLocation=https://www.youtube.com/watch?v=HEHhx7VmddY, friendlyName=Watch video</x:v>
      </x:c>
      <x:c r="E212" s="18" t="e">
        <x:f>HYPERLINK("transcripts/HEHhx7VmddY.html","Complete transcript")</x:f>
        <x:v>HYPERLINK is not implemented. linkLocation=transcripts/HEHhx7VmddY.html, friendlyName=Complete transcript</x:v>
      </x:c>
      <x:c r="F212" s="13" t="str">
        <x:v>UNKNOWN_REQUIRES_REVIEW</x:v>
      </x:c>
      <x:c r="G212" s="17" t="str">
        <x:v>UNREVIEWED</x:v>
      </x:c>
      <x:c r="H212" s="17" t="str"/>
      <x:c r="I212" s="17" t="str"/>
      <x:c r="J212" s="17" t="str"/>
      <x:c r="K212" s="17" t="str"/>
      <x:c r="L212" s="17" t="str"/>
      <x:c r="M212" s="17" t="str">
        <x:v>PENDING WHOLE-VIDEO REVIEW</x:v>
      </x:c>
      <x:c r="N212" s="15" t="n">
        <x:v>409</x:v>
      </x:c>
      <x:c r="O212" s="15" t="n">
        <x:v>3005</x:v>
      </x:c>
      <x:c r="P212" s="15" t="n">
        <x:v>905</x:v>
      </x:c>
      <x:c r="Q212" s="13" t="str">
        <x:v>NO_LARGE_TAIL_GAP</x:v>
      </x:c>
      <x:c r="R212" s="13" t="str"/>
      <x:c r="S212" s="16" t="n">
        <x:v>0</x:v>
      </x:c>
      <x:c r="T212" s="13" t="str">
        <x:v>415bd7ee5c11df39080c64bd82ae99263474d8dc548264fa72400ff458fa034d</x:v>
      </x:c>
    </x:row>
    <x:row r="213" ht="15" hidden="0" customHeight="1">
      <x:c r="A213" s="13" t="str">
        <x:v>HIJd3GixzsE</x:v>
      </x:c>
      <x:c r="B213" s="13" t="str">
        <x:v>Two Simple Secrets to Stock Trading Success?</x:v>
      </x:c>
      <x:c r="C213" s="14" t="d">
        <x:v>2022-05-22T00:00:00.000Z</x:v>
      </x:c>
      <x:c r="D213" s="18" t="e">
        <x:f>HYPERLINK("https://www.youtube.com/watch?v=HIJd3GixzsE","Watch video")</x:f>
        <x:v>HYPERLINK is not implemented. linkLocation=https://www.youtube.com/watch?v=HIJd3GixzsE, friendlyName=Watch video</x:v>
      </x:c>
      <x:c r="E213" s="18" t="e">
        <x:f>HYPERLINK("transcripts/HIJd3GixzsE.html","Complete transcript")</x:f>
        <x:v>HYPERLINK is not implemented. linkLocation=transcripts/HIJd3GixzsE.html, friendlyName=Complete transcript</x:v>
      </x:c>
      <x:c r="F213" s="13" t="str">
        <x:v>PETE_EXPLICIT</x:v>
      </x:c>
      <x:c r="G213" s="17" t="str">
        <x:v>UNREVIEWED</x:v>
      </x:c>
      <x:c r="H213" s="17" t="str"/>
      <x:c r="I213" s="17" t="str"/>
      <x:c r="J213" s="17" t="str"/>
      <x:c r="K213" s="17" t="str"/>
      <x:c r="L213" s="17" t="str"/>
      <x:c r="M213" s="17" t="str">
        <x:v>PENDING WHOLE-VIDEO REVIEW</x:v>
      </x:c>
      <x:c r="N213" s="15" t="n">
        <x:v>268</x:v>
      </x:c>
      <x:c r="O213" s="15" t="n">
        <x:v>1685</x:v>
      </x:c>
      <x:c r="P213" s="15" t="n">
        <x:v>554</x:v>
      </x:c>
      <x:c r="Q213" s="13" t="str">
        <x:v>NO_LARGE_TAIL_GAP</x:v>
      </x:c>
      <x:c r="R213" s="13" t="str"/>
      <x:c r="S213" s="16" t="n">
        <x:v>7</x:v>
      </x:c>
      <x:c r="T213" s="13" t="str">
        <x:v>70edc8eb7e2e392a644c3250f263676d46f7352161deed49ad3957c8df7176af</x:v>
      </x:c>
    </x:row>
    <x:row r="214" ht="15" hidden="0" customHeight="1">
      <x:c r="A214" s="13" t="str">
        <x:v>HYhpWHkTsEU</x:v>
      </x:c>
      <x:c r="B214" s="13" t="str">
        <x:v>Trading MSFT Microsoft Earnings | Best Stock Picks Today 10-27-20</x:v>
      </x:c>
      <x:c r="C214" s="14" t="d">
        <x:v>2020-10-27T00:00:00.000Z</x:v>
      </x:c>
      <x:c r="D214" s="18" t="e">
        <x:f>HYPERLINK("https://www.youtube.com/watch?v=HYhpWHkTsEU","Watch video")</x:f>
        <x:v>HYPERLINK is not implemented. linkLocation=https://www.youtube.com/watch?v=HYhpWHkTsEU, friendlyName=Watch video</x:v>
      </x:c>
      <x:c r="E214" s="18" t="e">
        <x:f>HYPERLINK("transcripts/HYhpWHkTsEU.html","Complete transcript")</x:f>
        <x:v>HYPERLINK is not implemented. linkLocation=transcripts/HYhpWHkTsEU.html, friendlyName=Complete transcript</x:v>
      </x:c>
      <x:c r="F214" s="13" t="str">
        <x:v>PETE_EXPLICIT</x:v>
      </x:c>
      <x:c r="G214" s="17" t="str">
        <x:v>UNREVIEWED</x:v>
      </x:c>
      <x:c r="H214" s="17" t="str"/>
      <x:c r="I214" s="17" t="str"/>
      <x:c r="J214" s="17" t="str"/>
      <x:c r="K214" s="17" t="str"/>
      <x:c r="L214" s="17" t="str"/>
      <x:c r="M214" s="17" t="str">
        <x:v>PENDING WHOLE-VIDEO REVIEW</x:v>
      </x:c>
      <x:c r="N214" s="15" t="n">
        <x:v>397</x:v>
      </x:c>
      <x:c r="O214" s="15" t="n">
        <x:v>2394</x:v>
      </x:c>
      <x:c r="P214" s="15" t="n">
        <x:v>682</x:v>
      </x:c>
      <x:c r="Q214" s="13" t="str">
        <x:v>NO_LARGE_TAIL_GAP</x:v>
      </x:c>
      <x:c r="R214" s="13" t="str"/>
      <x:c r="S214" s="16" t="n">
        <x:v>0</x:v>
      </x:c>
      <x:c r="T214" s="13" t="str">
        <x:v>b4071df8291f34d4f079841a1997225a89cb71262dab3ea92f4a1c29c97c39ff</x:v>
      </x:c>
    </x:row>
    <x:row r="215" ht="15" hidden="0" customHeight="1">
      <x:c r="A215" s="13" t="str">
        <x:v>HZgxSyz5VY0</x:v>
      </x:c>
      <x:c r="B215" s="13" t="str">
        <x:v>Options Insights  | Sideways Markets are PERFECT for Options!</x:v>
      </x:c>
      <x:c r="C215" s="14" t="d">
        <x:v>2024-07-09T00:00:00.000Z</x:v>
      </x:c>
      <x:c r="D215" s="18" t="e">
        <x:f>HYPERLINK("https://www.youtube.com/watch?v=HZgxSyz5VY0","Watch video")</x:f>
        <x:v>HYPERLINK is not implemented. linkLocation=https://www.youtube.com/watch?v=HZgxSyz5VY0, friendlyName=Watch video</x:v>
      </x:c>
      <x:c r="E215" s="18" t="e">
        <x:f>HYPERLINK("transcripts/HZgxSyz5VY0.html","Complete transcript")</x:f>
        <x:v>HYPERLINK is not implemented. linkLocation=transcripts/HZgxSyz5VY0.html, friendlyName=Complete transcript</x:v>
      </x:c>
      <x:c r="F215" s="13" t="str">
        <x:v>UNKNOWN_REQUIRES_REVIEW</x:v>
      </x:c>
      <x:c r="G215" s="17" t="str">
        <x:v>UNREVIEWED</x:v>
      </x:c>
      <x:c r="H215" s="17" t="str"/>
      <x:c r="I215" s="17" t="str"/>
      <x:c r="J215" s="17" t="str"/>
      <x:c r="K215" s="17" t="str"/>
      <x:c r="L215" s="17" t="str"/>
      <x:c r="M215" s="17" t="str">
        <x:v>PENDING WHOLE-VIDEO REVIEW</x:v>
      </x:c>
      <x:c r="N215" s="15" t="n">
        <x:v>166</x:v>
      </x:c>
      <x:c r="O215" s="15" t="n">
        <x:v>1259</x:v>
      </x:c>
      <x:c r="P215" s="15" t="n">
        <x:v>395</x:v>
      </x:c>
      <x:c r="Q215" s="13" t="str">
        <x:v>NO_LARGE_TAIL_GAP</x:v>
      </x:c>
      <x:c r="R215" s="13" t="str"/>
      <x:c r="S215" s="16" t="n">
        <x:v>0</x:v>
      </x:c>
      <x:c r="T215" s="13" t="str">
        <x:v>60a31861ba84495fa876f1cd49990ee2a54e578f652ecf6d1fe256e65708b5cd</x:v>
      </x:c>
    </x:row>
    <x:row r="216" ht="15" hidden="0" customHeight="1">
      <x:c r="A216" s="13" t="str">
        <x:v>HhD8HHmMleU</x:v>
      </x:c>
      <x:c r="B216" s="13" t="str">
        <x:v>Options Trading Insight | Stock Price or Strike Price?</x:v>
      </x:c>
      <x:c r="C216" s="14" t="d">
        <x:v>2024-07-09T00:00:00.000Z</x:v>
      </x:c>
      <x:c r="D216" s="18" t="e">
        <x:f>HYPERLINK("https://www.youtube.com/watch?v=HhD8HHmMleU","Watch video")</x:f>
        <x:v>HYPERLINK is not implemented. linkLocation=https://www.youtube.com/watch?v=HhD8HHmMleU, friendlyName=Watch video</x:v>
      </x:c>
      <x:c r="E216" s="18" t="e">
        <x:f>HYPERLINK("transcripts/HhD8HHmMleU.html","Complete transcript")</x:f>
        <x:v>HYPERLINK is not implemented. linkLocation=transcripts/HhD8HHmMleU.html, friendlyName=Complete transcript</x:v>
      </x:c>
      <x:c r="F216" s="13" t="str">
        <x:v>UNKNOWN_REQUIRES_REVIEW</x:v>
      </x:c>
      <x:c r="G216" s="17" t="str">
        <x:v>UNREVIEWED</x:v>
      </x:c>
      <x:c r="H216" s="17" t="str"/>
      <x:c r="I216" s="17" t="str"/>
      <x:c r="J216" s="17" t="str"/>
      <x:c r="K216" s="17" t="str"/>
      <x:c r="L216" s="17" t="str"/>
      <x:c r="M216" s="17" t="str">
        <x:v>PENDING WHOLE-VIDEO REVIEW</x:v>
      </x:c>
      <x:c r="N216" s="15" t="n">
        <x:v>71</x:v>
      </x:c>
      <x:c r="O216" s="15" t="n">
        <x:v>503</x:v>
      </x:c>
      <x:c r="P216" s="15" t="n">
        <x:v>147</x:v>
      </x:c>
      <x:c r="Q216" s="13" t="str">
        <x:v>NO_LARGE_TAIL_GAP</x:v>
      </x:c>
      <x:c r="R216" s="13" t="str"/>
      <x:c r="S216" s="16" t="n">
        <x:v>2</x:v>
      </x:c>
      <x:c r="T216" s="13" t="str">
        <x:v>fc8aac2b5c648c77f2711f52592b6e5dc157d06668eea6b4163f5e070ff96a04</x:v>
      </x:c>
    </x:row>
    <x:row r="217" ht="15" hidden="0" customHeight="1">
      <x:c r="A217" s="13" t="str">
        <x:v>HpWtDUL95iQ</x:v>
      </x:c>
      <x:c r="B217" s="13" t="str">
        <x:v>Trading NFLX Earnings | Best Stock Picks Today 10-20-20</x:v>
      </x:c>
      <x:c r="C217" s="14" t="d">
        <x:v>2020-10-20T00:00:00.000Z</x:v>
      </x:c>
      <x:c r="D217" s="18" t="e">
        <x:f>HYPERLINK("https://www.youtube.com/watch?v=HpWtDUL95iQ","Watch video")</x:f>
        <x:v>HYPERLINK is not implemented. linkLocation=https://www.youtube.com/watch?v=HpWtDUL95iQ, friendlyName=Watch video</x:v>
      </x:c>
      <x:c r="E217" s="18" t="e">
        <x:f>HYPERLINK("transcripts/HpWtDUL95iQ.html","Complete transcript")</x:f>
        <x:v>HYPERLINK is not implemented. linkLocation=transcripts/HpWtDUL95iQ.html, friendlyName=Complete transcript</x:v>
      </x:c>
      <x:c r="F217" s="13" t="str">
        <x:v>PETE_EXPLICIT</x:v>
      </x:c>
      <x:c r="G217" s="17" t="str">
        <x:v>UNREVIEWED</x:v>
      </x:c>
      <x:c r="H217" s="17" t="str"/>
      <x:c r="I217" s="17" t="str"/>
      <x:c r="J217" s="17" t="str"/>
      <x:c r="K217" s="17" t="str"/>
      <x:c r="L217" s="17" t="str"/>
      <x:c r="M217" s="17" t="str">
        <x:v>PENDING WHOLE-VIDEO REVIEW</x:v>
      </x:c>
      <x:c r="N217" s="15" t="n">
        <x:v>358</x:v>
      </x:c>
      <x:c r="O217" s="15" t="n">
        <x:v>2246</x:v>
      </x:c>
      <x:c r="P217" s="15" t="n">
        <x:v>639</x:v>
      </x:c>
      <x:c r="Q217" s="13" t="str">
        <x:v>NO_LARGE_TAIL_GAP</x:v>
      </x:c>
      <x:c r="R217" s="13" t="str"/>
      <x:c r="S217" s="16" t="n">
        <x:v>0</x:v>
      </x:c>
      <x:c r="T217" s="13" t="str">
        <x:v>4e44bf5511cb0c80fbea4bf23dea37d340346c56cf207f23df0d8ce8c01bfc19</x:v>
      </x:c>
    </x:row>
    <x:row r="218" ht="15" hidden="0" customHeight="1">
      <x:c r="A218" s="13" t="str">
        <x:v>HqkUaXXFIeY</x:v>
      </x:c>
      <x:c r="B218" s="13" t="str">
        <x:v>WMT Walmart Earnings 8-18-20 | Best Stock Picks Today</x:v>
      </x:c>
      <x:c r="C218" s="14" t="d">
        <x:v>2020-08-18T00:00:00.000Z</x:v>
      </x:c>
      <x:c r="D218" s="18" t="e">
        <x:f>HYPERLINK("https://www.youtube.com/watch?v=HqkUaXXFIeY","Watch video")</x:f>
        <x:v>HYPERLINK is not implemented. linkLocation=https://www.youtube.com/watch?v=HqkUaXXFIeY, friendlyName=Watch video</x:v>
      </x:c>
      <x:c r="E218" s="18" t="e">
        <x:f>HYPERLINK("transcripts/HqkUaXXFIeY.html","Complete transcript")</x:f>
        <x:v>HYPERLINK is not implemented. linkLocation=transcripts/HqkUaXXFIeY.html, friendlyName=Complete transcript</x:v>
      </x:c>
      <x:c r="F218" s="13" t="str">
        <x:v>PETE_EXPLICIT</x:v>
      </x:c>
      <x:c r="G218" s="17" t="str">
        <x:v>UNREVIEWED</x:v>
      </x:c>
      <x:c r="H218" s="17" t="str"/>
      <x:c r="I218" s="17" t="str"/>
      <x:c r="J218" s="17" t="str"/>
      <x:c r="K218" s="17" t="str"/>
      <x:c r="L218" s="17" t="str"/>
      <x:c r="M218" s="17" t="str">
        <x:v>PENDING WHOLE-VIDEO REVIEW</x:v>
      </x:c>
      <x:c r="N218" s="15" t="n">
        <x:v>291</x:v>
      </x:c>
      <x:c r="O218" s="15" t="n">
        <x:v>1757</x:v>
      </x:c>
      <x:c r="P218" s="15" t="n">
        <x:v>493</x:v>
      </x:c>
      <x:c r="Q218" s="13" t="str">
        <x:v>NO_LARGE_TAIL_GAP</x:v>
      </x:c>
      <x:c r="R218" s="13" t="str"/>
      <x:c r="S218" s="16" t="n">
        <x:v>0</x:v>
      </x:c>
      <x:c r="T218" s="13" t="str">
        <x:v>658d81bc72f285c032703c4ca5f3abac711643acdeeb3e91950fa47bbb14345d</x:v>
      </x:c>
    </x:row>
    <x:row r="219" ht="15" hidden="0" customHeight="1">
      <x:c r="A219" s="13" t="str">
        <x:v>I3qNSZFEm6k</x:v>
      </x:c>
      <x:c r="B219" s="13" t="str">
        <x:v>Trading Education Trader Q and A Challenges and Goals</x:v>
      </x:c>
      <x:c r="C219" s="14" t="d">
        <x:v>2015-12-12T00:00:00.000Z</x:v>
      </x:c>
      <x:c r="D219" s="18" t="e">
        <x:f>HYPERLINK("https://www.youtube.com/watch?v=I3qNSZFEm6k","Watch video")</x:f>
        <x:v>HYPERLINK is not implemented. linkLocation=https://www.youtube.com/watch?v=I3qNSZFEm6k, friendlyName=Watch video</x:v>
      </x:c>
      <x:c r="E219" s="18" t="e">
        <x:f>HYPERLINK("transcripts/I3qNSZFEm6k.html","Complete transcript")</x:f>
        <x:v>HYPERLINK is not implemented. linkLocation=transcripts/I3qNSZFEm6k.html, friendlyName=Complete transcript</x:v>
      </x:c>
      <x:c r="F219" s="13" t="str">
        <x:v>UNKNOWN_REQUIRES_REVIEW</x:v>
      </x:c>
      <x:c r="G219" s="17" t="str">
        <x:v>UNREVIEWED</x:v>
      </x:c>
      <x:c r="H219" s="17" t="str"/>
      <x:c r="I219" s="17" t="str"/>
      <x:c r="J219" s="17" t="str"/>
      <x:c r="K219" s="17" t="str"/>
      <x:c r="L219" s="17" t="str"/>
      <x:c r="M219" s="17" t="str">
        <x:v>PENDING WHOLE-VIDEO REVIEW</x:v>
      </x:c>
      <x:c r="N219" s="15" t="n">
        <x:v>2012</x:v>
      </x:c>
      <x:c r="O219" s="15" t="n">
        <x:v>15010</x:v>
      </x:c>
      <x:c r="P219" s="15" t="n">
        <x:v>4277</x:v>
      </x:c>
      <x:c r="Q219" s="13" t="str">
        <x:v>NO_LARGE_TAIL_GAP</x:v>
      </x:c>
      <x:c r="R219" s="13" t="str"/>
      <x:c r="S219" s="16" t="n">
        <x:v>0</x:v>
      </x:c>
      <x:c r="T219" s="13" t="str">
        <x:v>e2204e9d58b115ed28c426c5d178957490557a88f7f775b9ec8a9af796fd7974</x:v>
      </x:c>
    </x:row>
    <x:row r="220" ht="15" hidden="0" customHeight="1">
      <x:c r="A220" s="13" t="str">
        <x:v>I7x32PrWlG0</x:v>
      </x:c>
      <x:c r="B220" s="13" t="str">
        <x:v>Pro Trading Lesson |  Stocks For Breakfast 6-22-20</x:v>
      </x:c>
      <x:c r="C220" s="14" t="d">
        <x:v>2020-06-22T00:00:00.000Z</x:v>
      </x:c>
      <x:c r="D220" s="18" t="e">
        <x:f>HYPERLINK("https://www.youtube.com/watch?v=I7x32PrWlG0","Watch video")</x:f>
        <x:v>HYPERLINK is not implemented. linkLocation=https://www.youtube.com/watch?v=I7x32PrWlG0, friendlyName=Watch video</x:v>
      </x:c>
      <x:c r="E220" s="18" t="e">
        <x:f>HYPERLINK("transcripts/I7x32PrWlG0.html","Complete transcript")</x:f>
        <x:v>HYPERLINK is not implemented. linkLocation=transcripts/I7x32PrWlG0.html, friendlyName=Complete transcript</x:v>
      </x:c>
      <x:c r="F220" s="13" t="str">
        <x:v>UNKNOWN_REQUIRES_REVIEW</x:v>
      </x:c>
      <x:c r="G220" s="17" t="str">
        <x:v>UNREVIEWED</x:v>
      </x:c>
      <x:c r="H220" s="17" t="str"/>
      <x:c r="I220" s="17" t="str"/>
      <x:c r="J220" s="17" t="str"/>
      <x:c r="K220" s="17" t="str"/>
      <x:c r="L220" s="17" t="str"/>
      <x:c r="M220" s="17" t="str">
        <x:v>PENDING WHOLE-VIDEO REVIEW</x:v>
      </x:c>
      <x:c r="N220" s="15" t="n">
        <x:v>505</x:v>
      </x:c>
      <x:c r="O220" s="15" t="n">
        <x:v>3736</x:v>
      </x:c>
      <x:c r="P220" s="15" t="n">
        <x:v>1043</x:v>
      </x:c>
      <x:c r="Q220" s="13" t="str">
        <x:v>NO_LARGE_TAIL_GAP</x:v>
      </x:c>
      <x:c r="R220" s="13" t="str"/>
      <x:c r="S220" s="16" t="n">
        <x:v>0</x:v>
      </x:c>
      <x:c r="T220" s="13" t="str">
        <x:v>8981dd02fc5a378cf88bc9e9773fdb8781dbdccbcc3312abfb8b25cb387e50fd</x:v>
      </x:c>
    </x:row>
    <x:row r="221" ht="15" hidden="0" customHeight="1">
      <x:c r="A221" s="13" t="str">
        <x:v>I8ydkGw4ac8</x:v>
      </x:c>
      <x:c r="B221" s="13" t="str">
        <x:v>A 660-Day Income Window: GLD Options Strategy</x:v>
      </x:c>
      <x:c r="C221" s="14" t="d">
        <x:v>2026-04-16T00:00:00.000Z</x:v>
      </x:c>
      <x:c r="D221" s="18" t="e">
        <x:f>HYPERLINK("https://www.youtube.com/watch?v=I8ydkGw4ac8","Watch video")</x:f>
        <x:v>HYPERLINK is not implemented. linkLocation=https://www.youtube.com/watch?v=I8ydkGw4ac8, friendlyName=Watch video</x:v>
      </x:c>
      <x:c r="E221" s="18" t="e">
        <x:f>HYPERLINK("transcripts/I8ydkGw4ac8.html","Complete transcript")</x:f>
        <x:v>HYPERLINK is not implemented. linkLocation=transcripts/I8ydkGw4ac8.html, friendlyName=Complete transcript</x:v>
      </x:c>
      <x:c r="F221" s="13" t="str">
        <x:v>PETE_EXPLICIT</x:v>
      </x:c>
      <x:c r="G221" s="17" t="str">
        <x:v>UNREVIEWED</x:v>
      </x:c>
      <x:c r="H221" s="17" t="str"/>
      <x:c r="I221" s="17" t="str"/>
      <x:c r="J221" s="17" t="str"/>
      <x:c r="K221" s="17" t="str"/>
      <x:c r="L221" s="17" t="str"/>
      <x:c r="M221" s="17" t="str">
        <x:v>PENDING WHOLE-VIDEO REVIEW</x:v>
      </x:c>
      <x:c r="N221" s="15" t="n">
        <x:v>317</x:v>
      </x:c>
      <x:c r="O221" s="15" t="n">
        <x:v>2243</x:v>
      </x:c>
      <x:c r="P221" s="15" t="n">
        <x:v>713</x:v>
      </x:c>
      <x:c r="Q221" s="13" t="str">
        <x:v>NO_LARGE_TAIL_GAP</x:v>
      </x:c>
      <x:c r="R221" s="13" t="str"/>
      <x:c r="S221" s="16" t="n">
        <x:v>0</x:v>
      </x:c>
      <x:c r="T221" s="13" t="str">
        <x:v>be7b57eafe99eacff70311461c62830333b6fe3542dcb39a1cc778c4dde67900</x:v>
      </x:c>
    </x:row>
    <x:row r="222" ht="15" hidden="0" customHeight="1">
      <x:c r="A222" s="13" t="str">
        <x:v>IDP7kxOqkgk</x:v>
      </x:c>
      <x:c r="B222" s="13" t="str">
        <x:v>Reduce Stock Trading Losses | Stocks for Breakfast 7-27-20</x:v>
      </x:c>
      <x:c r="C222" s="14" t="d">
        <x:v>2020-07-27T00:00:00.000Z</x:v>
      </x:c>
      <x:c r="D222" s="18" t="e">
        <x:f>HYPERLINK("https://www.youtube.com/watch?v=IDP7kxOqkgk","Watch video")</x:f>
        <x:v>HYPERLINK is not implemented. linkLocation=https://www.youtube.com/watch?v=IDP7kxOqkgk, friendlyName=Watch video</x:v>
      </x:c>
      <x:c r="E222" s="18" t="e">
        <x:f>HYPERLINK("transcripts/IDP7kxOqkgk.html","Complete transcript")</x:f>
        <x:v>HYPERLINK is not implemented. linkLocation=transcripts/IDP7kxOqkgk.html, friendlyName=Complete transcript</x:v>
      </x:c>
      <x:c r="F222" s="13" t="str">
        <x:v>PETE_EXPLICIT</x:v>
      </x:c>
      <x:c r="G222" s="17" t="str">
        <x:v>UNREVIEWED</x:v>
      </x:c>
      <x:c r="H222" s="17" t="str"/>
      <x:c r="I222" s="17" t="str"/>
      <x:c r="J222" s="17" t="str"/>
      <x:c r="K222" s="17" t="str"/>
      <x:c r="L222" s="17" t="str"/>
      <x:c r="M222" s="17" t="str">
        <x:v>PENDING WHOLE-VIDEO REVIEW</x:v>
      </x:c>
      <x:c r="N222" s="15" t="n">
        <x:v>506</x:v>
      </x:c>
      <x:c r="O222" s="15" t="n">
        <x:v>3147</x:v>
      </x:c>
      <x:c r="P222" s="15" t="n">
        <x:v>913</x:v>
      </x:c>
      <x:c r="Q222" s="13" t="str">
        <x:v>NO_LARGE_TAIL_GAP</x:v>
      </x:c>
      <x:c r="R222" s="13" t="str"/>
      <x:c r="S222" s="16" t="n">
        <x:v>0</x:v>
      </x:c>
      <x:c r="T222" s="13" t="str">
        <x:v>4612e7caa600e69960f94cd7190772ba8f1242d041cc4bd5a7911ca3eed391fe</x:v>
      </x:c>
    </x:row>
    <x:row r="223" ht="15" hidden="0" customHeight="1">
      <x:c r="A223" s="13" t="str">
        <x:v>IOeUf9SpmSI</x:v>
      </x:c>
      <x:c r="B223" s="13" t="str">
        <x:v>The Daily Ticker Podcast Expectations Investing</x:v>
      </x:c>
      <x:c r="C223" s="14" t="d">
        <x:v>2023-08-03T00:00:00.000Z</x:v>
      </x:c>
      <x:c r="D223" s="18" t="e">
        <x:f>HYPERLINK("https://www.youtube.com/watch?v=IOeUf9SpmSI","Watch video")</x:f>
        <x:v>HYPERLINK is not implemented. linkLocation=https://www.youtube.com/watch?v=IOeUf9SpmSI, friendlyName=Watch video</x:v>
      </x:c>
      <x:c r="E223" s="18" t="e">
        <x:f>HYPERLINK("transcripts/IOeUf9SpmSI.html","Complete transcript")</x:f>
        <x:v>HYPERLINK is not implemented. linkLocation=transcripts/IOeUf9SpmSI.html, friendlyName=Complete transcript</x:v>
      </x:c>
      <x:c r="F223" s="13" t="str">
        <x:v>GUEST_OR_INTERVIEW</x:v>
      </x:c>
      <x:c r="G223" s="17" t="str">
        <x:v>UNREVIEWED</x:v>
      </x:c>
      <x:c r="H223" s="17" t="str"/>
      <x:c r="I223" s="17" t="str"/>
      <x:c r="J223" s="17" t="str"/>
      <x:c r="K223" s="17" t="str"/>
      <x:c r="L223" s="17" t="str"/>
      <x:c r="M223" s="17" t="str">
        <x:v>PENDING WHOLE-VIDEO REVIEW</x:v>
      </x:c>
      <x:c r="N223" s="15" t="n">
        <x:v>1416</x:v>
      </x:c>
      <x:c r="O223" s="15" t="n">
        <x:v>9624</x:v>
      </x:c>
      <x:c r="P223" s="15" t="n">
        <x:v>2940</x:v>
      </x:c>
      <x:c r="Q223" s="13" t="str">
        <x:v>NO_LARGE_TAIL_GAP</x:v>
      </x:c>
      <x:c r="R223" s="13" t="str"/>
      <x:c r="S223" s="16" t="n">
        <x:v>0</x:v>
      </x:c>
      <x:c r="T223" s="13" t="str">
        <x:v>07d1541434612e4b92cd5f49408a8fe68231719d3742335ec78227158f726d2c</x:v>
      </x:c>
    </x:row>
    <x:row r="224" ht="15" hidden="0" customHeight="1">
      <x:c r="A224" s="13" t="str">
        <x:v>IQxD2nE-DLs</x:v>
      </x:c>
      <x:c r="B224" s="13" t="str">
        <x:v>Best Stock Picks Today 8-26-20 | NIO Trade Setup</x:v>
      </x:c>
      <x:c r="C224" s="14" t="d">
        <x:v>2020-08-26T00:00:00.000Z</x:v>
      </x:c>
      <x:c r="D224" s="18" t="e">
        <x:f>HYPERLINK("https://www.youtube.com/watch?v=IQxD2nE-DLs","Watch video")</x:f>
        <x:v>HYPERLINK is not implemented. linkLocation=https://www.youtube.com/watch?v=IQxD2nE-DLs, friendlyName=Watch video</x:v>
      </x:c>
      <x:c r="E224" s="18" t="e">
        <x:f>HYPERLINK("transcripts/IQxD2nE-DLs.html","Complete transcript")</x:f>
        <x:v>HYPERLINK is not implemented. linkLocation=transcripts/IQxD2nE-DLs.html, friendlyName=Complete transcript</x:v>
      </x:c>
      <x:c r="F224" s="13" t="str">
        <x:v>PETE_EXPLICIT</x:v>
      </x:c>
      <x:c r="G224" s="17" t="str">
        <x:v>UNREVIEWED</x:v>
      </x:c>
      <x:c r="H224" s="17" t="str"/>
      <x:c r="I224" s="17" t="str"/>
      <x:c r="J224" s="17" t="str"/>
      <x:c r="K224" s="17" t="str"/>
      <x:c r="L224" s="17" t="str"/>
      <x:c r="M224" s="17" t="str">
        <x:v>PENDING WHOLE-VIDEO REVIEW</x:v>
      </x:c>
      <x:c r="N224" s="15" t="n">
        <x:v>382</x:v>
      </x:c>
      <x:c r="O224" s="15" t="n">
        <x:v>2415</x:v>
      </x:c>
      <x:c r="P224" s="15" t="n">
        <x:v>672</x:v>
      </x:c>
      <x:c r="Q224" s="13" t="str">
        <x:v>NO_LARGE_TAIL_GAP</x:v>
      </x:c>
      <x:c r="R224" s="13" t="str"/>
      <x:c r="S224" s="16" t="n">
        <x:v>0</x:v>
      </x:c>
      <x:c r="T224" s="13" t="str">
        <x:v>15eb5b0b97c3ddf80915594876aa6dc9557ba923c29d07e552f5460ac405f785</x:v>
      </x:c>
    </x:row>
    <x:row r="225" ht="15" hidden="0" customHeight="1">
      <x:c r="A225" s="13" t="str">
        <x:v>IRzgPa7E6Zg</x:v>
      </x:c>
      <x:c r="B225" s="13" t="str">
        <x:v>Best Stock Picks Today | WMT Tik-Tok News 8-28-20</x:v>
      </x:c>
      <x:c r="C225" s="14" t="d">
        <x:v>2020-08-28T00:00:00.000Z</x:v>
      </x:c>
      <x:c r="D225" s="18" t="e">
        <x:f>HYPERLINK("https://www.youtube.com/watch?v=IRzgPa7E6Zg","Watch video")</x:f>
        <x:v>HYPERLINK is not implemented. linkLocation=https://www.youtube.com/watch?v=IRzgPa7E6Zg, friendlyName=Watch video</x:v>
      </x:c>
      <x:c r="E225" s="18" t="e">
        <x:f>HYPERLINK("transcripts/IRzgPa7E6Zg.html","Complete transcript")</x:f>
        <x:v>HYPERLINK is not implemented. linkLocation=transcripts/IRzgPa7E6Zg.html, friendlyName=Complete transcript</x:v>
      </x:c>
      <x:c r="F225" s="13" t="str">
        <x:v>PETE_EXPLICIT</x:v>
      </x:c>
      <x:c r="G225" s="17" t="str">
        <x:v>UNREVIEWED</x:v>
      </x:c>
      <x:c r="H225" s="17" t="str"/>
      <x:c r="I225" s="17" t="str"/>
      <x:c r="J225" s="17" t="str"/>
      <x:c r="K225" s="17" t="str"/>
      <x:c r="L225" s="17" t="str"/>
      <x:c r="M225" s="17" t="str">
        <x:v>PENDING WHOLE-VIDEO REVIEW</x:v>
      </x:c>
      <x:c r="N225" s="15" t="n">
        <x:v>442</x:v>
      </x:c>
      <x:c r="O225" s="15" t="n">
        <x:v>2749</x:v>
      </x:c>
      <x:c r="P225" s="15" t="n">
        <x:v>767</x:v>
      </x:c>
      <x:c r="Q225" s="13" t="str">
        <x:v>NO_LARGE_TAIL_GAP</x:v>
      </x:c>
      <x:c r="R225" s="13" t="str"/>
      <x:c r="S225" s="16" t="n">
        <x:v>0</x:v>
      </x:c>
      <x:c r="T225" s="13" t="str">
        <x:v>e81e9d12eebafb8857c647c15a9ea998e53859b55fdf6bd2644359eec0e527f5</x:v>
      </x:c>
    </x:row>
    <x:row r="226" ht="15" hidden="0" customHeight="1">
      <x:c r="A226" s="13" t="str">
        <x:v>ISWdtM_QU5A</x:v>
      </x:c>
      <x:c r="B226" s="13" t="str">
        <x:v>Chart Reading Lessons | Why Most Chart Readers Struggle</x:v>
      </x:c>
      <x:c r="C226" s="14" t="d">
        <x:v>2020-06-11T00:00:00.000Z</x:v>
      </x:c>
      <x:c r="D226" s="18" t="e">
        <x:f>HYPERLINK("https://www.youtube.com/watch?v=ISWdtM_QU5A","Watch video")</x:f>
        <x:v>HYPERLINK is not implemented. linkLocation=https://www.youtube.com/watch?v=ISWdtM_QU5A, friendlyName=Watch video</x:v>
      </x:c>
      <x:c r="E226" s="18" t="e">
        <x:f>HYPERLINK("transcripts/ISWdtM_QU5A.html","Complete transcript")</x:f>
        <x:v>HYPERLINK is not implemented. linkLocation=transcripts/ISWdtM_QU5A.html, friendlyName=Complete transcript</x:v>
      </x:c>
      <x:c r="F226" s="13" t="str">
        <x:v>UNKNOWN_REQUIRES_REVIEW</x:v>
      </x:c>
      <x:c r="G226" s="17" t="str">
        <x:v>UNREVIEWED</x:v>
      </x:c>
      <x:c r="H226" s="17" t="str"/>
      <x:c r="I226" s="17" t="str"/>
      <x:c r="J226" s="17" t="str"/>
      <x:c r="K226" s="17" t="str"/>
      <x:c r="L226" s="17" t="str"/>
      <x:c r="M226" s="17" t="str">
        <x:v>PENDING WHOLE-VIDEO REVIEW</x:v>
      </x:c>
      <x:c r="N226" s="15" t="n">
        <x:v>488</x:v>
      </x:c>
      <x:c r="O226" s="15" t="n">
        <x:v>3483</x:v>
      </x:c>
      <x:c r="P226" s="15" t="n">
        <x:v>1032</x:v>
      </x:c>
      <x:c r="Q226" s="13" t="str">
        <x:v>NO_LARGE_TAIL_GAP</x:v>
      </x:c>
      <x:c r="R226" s="13" t="str"/>
      <x:c r="S226" s="16" t="n">
        <x:v>0</x:v>
      </x:c>
      <x:c r="T226" s="13" t="str">
        <x:v>52b202d6e5ba6f01b32e9218828dbfd4cf1cc5e13829aaa5f79353283a2a8893</x:v>
      </x:c>
    </x:row>
    <x:row r="227" ht="15" hidden="0" customHeight="1">
      <x:c r="A227" s="13" t="str">
        <x:v>ISu10nM6NKY</x:v>
      </x:c>
      <x:c r="B227" s="13" t="str">
        <x:v>Swing Trade or Day Trade While Actively Trading Options?</x:v>
      </x:c>
      <x:c r="C227" s="14" t="d">
        <x:v>2024-07-09T00:00:00.000Z</x:v>
      </x:c>
      <x:c r="D227" s="18" t="e">
        <x:f>HYPERLINK("https://www.youtube.com/watch?v=ISu10nM6NKY","Watch video")</x:f>
        <x:v>HYPERLINK is not implemented. linkLocation=https://www.youtube.com/watch?v=ISu10nM6NKY, friendlyName=Watch video</x:v>
      </x:c>
      <x:c r="E227" s="18" t="e">
        <x:f>HYPERLINK("transcripts/ISu10nM6NKY.html","Complete transcript")</x:f>
        <x:v>HYPERLINK is not implemented. linkLocation=transcripts/ISu10nM6NKY.html, friendlyName=Complete transcript</x:v>
      </x:c>
      <x:c r="F227" s="13" t="str">
        <x:v>UNKNOWN_REQUIRES_REVIEW</x:v>
      </x:c>
      <x:c r="G227" s="17" t="str">
        <x:v>UNREVIEWED</x:v>
      </x:c>
      <x:c r="H227" s="17" t="str"/>
      <x:c r="I227" s="17" t="str"/>
      <x:c r="J227" s="17" t="str"/>
      <x:c r="K227" s="17" t="str"/>
      <x:c r="L227" s="17" t="str"/>
      <x:c r="M227" s="17" t="str">
        <x:v>PENDING WHOLE-VIDEO REVIEW</x:v>
      </x:c>
      <x:c r="N227" s="15" t="n">
        <x:v>81</x:v>
      </x:c>
      <x:c r="O227" s="15" t="n">
        <x:v>585</x:v>
      </x:c>
      <x:c r="P227" s="15" t="n">
        <x:v>176</x:v>
      </x:c>
      <x:c r="Q227" s="13" t="str">
        <x:v>NO_LARGE_TAIL_GAP</x:v>
      </x:c>
      <x:c r="R227" s="13" t="str"/>
      <x:c r="S227" s="16" t="n">
        <x:v>0</x:v>
      </x:c>
      <x:c r="T227" s="13" t="str">
        <x:v>953297612f50a5dd2d06a8bbbed8dfc43b6050443aa19b2b51c18081dcde5133</x:v>
      </x:c>
    </x:row>
    <x:row r="228" ht="15" hidden="0" customHeight="1">
      <x:c r="A228" s="13" t="str">
        <x:v>IptsseLfnsw</x:v>
      </x:c>
      <x:c r="B228" s="13" t="str">
        <x:v>Short Selling Stocks | Trading Strategy</x:v>
      </x:c>
      <x:c r="C228" s="14" t="d">
        <x:v>2020-09-09T00:00:00.000Z</x:v>
      </x:c>
      <x:c r="D228" s="18" t="e">
        <x:f>HYPERLINK("https://www.youtube.com/watch?v=IptsseLfnsw","Watch video")</x:f>
        <x:v>HYPERLINK is not implemented. linkLocation=https://www.youtube.com/watch?v=IptsseLfnsw, friendlyName=Watch video</x:v>
      </x:c>
      <x:c r="E228" s="18" t="e">
        <x:f>HYPERLINK("transcripts/IptsseLfnsw.html","Complete transcript")</x:f>
        <x:v>HYPERLINK is not implemented. linkLocation=transcripts/IptsseLfnsw.html, friendlyName=Complete transcript</x:v>
      </x:c>
      <x:c r="F228" s="13" t="str">
        <x:v>PETE_EXPLICIT</x:v>
      </x:c>
      <x:c r="G228" s="17" t="str">
        <x:v>UNREVIEWED</x:v>
      </x:c>
      <x:c r="H228" s="17" t="str"/>
      <x:c r="I228" s="17" t="str"/>
      <x:c r="J228" s="17" t="str"/>
      <x:c r="K228" s="17" t="str"/>
      <x:c r="L228" s="17" t="str"/>
      <x:c r="M228" s="17" t="str">
        <x:v>PENDING WHOLE-VIDEO REVIEW</x:v>
      </x:c>
      <x:c r="N228" s="15" t="n">
        <x:v>474</x:v>
      </x:c>
      <x:c r="O228" s="15" t="n">
        <x:v>2900</x:v>
      </x:c>
      <x:c r="P228" s="15" t="n">
        <x:v>880</x:v>
      </x:c>
      <x:c r="Q228" s="13" t="str">
        <x:v>NO_LARGE_TAIL_GAP</x:v>
      </x:c>
      <x:c r="R228" s="13" t="str"/>
      <x:c r="S228" s="16" t="n">
        <x:v>0</x:v>
      </x:c>
      <x:c r="T228" s="13" t="str">
        <x:v>edb7c536f18f71b2162a24ea4834717e18b273d9d8163603e04ada382782676f</x:v>
      </x:c>
    </x:row>
    <x:row r="229" ht="15" hidden="0" customHeight="1">
      <x:c r="A229" s="13" t="str">
        <x:v>Iri9xTWi8is</x:v>
      </x:c>
      <x:c r="B229" s="13" t="str">
        <x:v>Options Trading Strategies | Basket Trading</x:v>
      </x:c>
      <x:c r="C229" s="14" t="d">
        <x:v>2024-07-09T00:00:00.000Z</x:v>
      </x:c>
      <x:c r="D229" s="18" t="e">
        <x:f>HYPERLINK("https://www.youtube.com/watch?v=Iri9xTWi8is","Watch video")</x:f>
        <x:v>HYPERLINK is not implemented. linkLocation=https://www.youtube.com/watch?v=Iri9xTWi8is, friendlyName=Watch video</x:v>
      </x:c>
      <x:c r="E229" s="18" t="e">
        <x:f>HYPERLINK("transcripts/Iri9xTWi8is.html","Complete transcript")</x:f>
        <x:v>HYPERLINK is not implemented. linkLocation=transcripts/Iri9xTWi8is.html, friendlyName=Complete transcript</x:v>
      </x:c>
      <x:c r="F229" s="13" t="str">
        <x:v>NON_PETE_EXPLICIT_JOHN</x:v>
      </x:c>
      <x:c r="G229" s="17" t="str">
        <x:v>UNREVIEWED</x:v>
      </x:c>
      <x:c r="H229" s="17" t="str"/>
      <x:c r="I229" s="17" t="str"/>
      <x:c r="J229" s="17" t="str"/>
      <x:c r="K229" s="17" t="str"/>
      <x:c r="L229" s="17" t="str"/>
      <x:c r="M229" s="17" t="str">
        <x:v>PENDING WHOLE-VIDEO REVIEW</x:v>
      </x:c>
      <x:c r="N229" s="15" t="n">
        <x:v>190</x:v>
      </x:c>
      <x:c r="O229" s="15" t="n">
        <x:v>1404</x:v>
      </x:c>
      <x:c r="P229" s="15" t="n">
        <x:v>422</x:v>
      </x:c>
      <x:c r="Q229" s="13" t="str">
        <x:v>NO_LARGE_TAIL_GAP</x:v>
      </x:c>
      <x:c r="R229" s="13" t="str"/>
      <x:c r="S229" s="16" t="n">
        <x:v>0</x:v>
      </x:c>
      <x:c r="T229" s="13" t="str">
        <x:v>bb289990b1afc9d3e1238e33ed46032d2d3ab11e0f14d456d5e8e73c08f76dc0</x:v>
      </x:c>
    </x:row>
    <x:row r="230" ht="15" hidden="0" customHeight="1">
      <x:c r="A230" s="13" t="str">
        <x:v>IwHo2br4JZQ</x:v>
      </x:c>
      <x:c r="B230" s="13" t="str">
        <x:v>The Disciplined Trader Always Wins</x:v>
      </x:c>
      <x:c r="C230" s="14" t="d">
        <x:v>2020-07-08T00:00:00.000Z</x:v>
      </x:c>
      <x:c r="D230" s="18" t="e">
        <x:f>HYPERLINK("https://www.youtube.com/watch?v=IwHo2br4JZQ","Watch video")</x:f>
        <x:v>HYPERLINK is not implemented. linkLocation=https://www.youtube.com/watch?v=IwHo2br4JZQ, friendlyName=Watch video</x:v>
      </x:c>
      <x:c r="E230" s="18" t="e">
        <x:f>HYPERLINK("transcripts/IwHo2br4JZQ.html","Complete transcript")</x:f>
        <x:v>HYPERLINK is not implemented. linkLocation=transcripts/IwHo2br4JZQ.html, friendlyName=Complete transcript</x:v>
      </x:c>
      <x:c r="F230" s="13" t="str">
        <x:v>UNKNOWN_REQUIRES_REVIEW</x:v>
      </x:c>
      <x:c r="G230" s="17" t="str">
        <x:v>UNREVIEWED</x:v>
      </x:c>
      <x:c r="H230" s="17" t="str"/>
      <x:c r="I230" s="17" t="str"/>
      <x:c r="J230" s="17" t="str"/>
      <x:c r="K230" s="17" t="str"/>
      <x:c r="L230" s="17" t="str"/>
      <x:c r="M230" s="17" t="str">
        <x:v>PENDING WHOLE-VIDEO REVIEW</x:v>
      </x:c>
      <x:c r="N230" s="15" t="n">
        <x:v>410</x:v>
      </x:c>
      <x:c r="O230" s="15" t="n">
        <x:v>2937</x:v>
      </x:c>
      <x:c r="P230" s="15" t="n">
        <x:v>857</x:v>
      </x:c>
      <x:c r="Q230" s="13" t="str">
        <x:v>NO_LARGE_TAIL_GAP</x:v>
      </x:c>
      <x:c r="R230" s="13" t="str"/>
      <x:c r="S230" s="16" t="n">
        <x:v>0</x:v>
      </x:c>
      <x:c r="T230" s="13" t="str">
        <x:v>88c0ee888c522481be904ee794821c9a4196a15034cc1b5b66d16ce5f4846cdf</x:v>
      </x:c>
    </x:row>
    <x:row r="231" ht="15" hidden="0" customHeight="1">
      <x:c r="A231" s="13" t="str">
        <x:v>JBIHgLRUqPg</x:v>
      </x:c>
      <x:c r="B231" s="13" t="str">
        <x:v>Options Trading: How the Markets Work</x:v>
      </x:c>
      <x:c r="C231" s="14" t="d">
        <x:v>2024-07-10T00:00:00.000Z</x:v>
      </x:c>
      <x:c r="D231" s="18" t="e">
        <x:f>HYPERLINK("https://www.youtube.com/watch?v=JBIHgLRUqPg","Watch video")</x:f>
        <x:v>HYPERLINK is not implemented. linkLocation=https://www.youtube.com/watch?v=JBIHgLRUqPg, friendlyName=Watch video</x:v>
      </x:c>
      <x:c r="E231" s="18" t="e">
        <x:f>HYPERLINK("transcripts/JBIHgLRUqPg.html","Complete transcript")</x:f>
        <x:v>HYPERLINK is not implemented. linkLocation=transcripts/JBIHgLRUqPg.html, friendlyName=Complete transcript</x:v>
      </x:c>
      <x:c r="F231" s="13" t="str">
        <x:v>NON_PETE_EXPLICIT_JOHN</x:v>
      </x:c>
      <x:c r="G231" s="17" t="str">
        <x:v>UNREVIEWED</x:v>
      </x:c>
      <x:c r="H231" s="17" t="str"/>
      <x:c r="I231" s="17" t="str"/>
      <x:c r="J231" s="17" t="str"/>
      <x:c r="K231" s="17" t="str"/>
      <x:c r="L231" s="17" t="str"/>
      <x:c r="M231" s="17" t="str">
        <x:v>PENDING WHOLE-VIDEO REVIEW</x:v>
      </x:c>
      <x:c r="N231" s="15" t="n">
        <x:v>175</x:v>
      </x:c>
      <x:c r="O231" s="15" t="n">
        <x:v>1322</x:v>
      </x:c>
      <x:c r="P231" s="15" t="n">
        <x:v>403</x:v>
      </x:c>
      <x:c r="Q231" s="13" t="str">
        <x:v>NO_LARGE_TAIL_GAP</x:v>
      </x:c>
      <x:c r="R231" s="13" t="str"/>
      <x:c r="S231" s="16" t="n">
        <x:v>0</x:v>
      </x:c>
      <x:c r="T231" s="13" t="str">
        <x:v>fabed613ca1acd21461d61f165bbb740d9f30359299473e525218ba747385315</x:v>
      </x:c>
    </x:row>
    <x:row r="232" ht="15" hidden="0" customHeight="1">
      <x:c r="A232" s="13" t="str">
        <x:v>JBdQGdmXMI0</x:v>
      </x:c>
      <x:c r="B232" s="13" t="str">
        <x:v>TSLA | Tesla | Day Trading Strategies</x:v>
      </x:c>
      <x:c r="C232" s="14" t="d">
        <x:v>2015-05-13T00:00:00.000Z</x:v>
      </x:c>
      <x:c r="D232" s="18" t="e">
        <x:f>HYPERLINK("https://www.youtube.com/watch?v=JBdQGdmXMI0","Watch video")</x:f>
        <x:v>HYPERLINK is not implemented. linkLocation=https://www.youtube.com/watch?v=JBdQGdmXMI0, friendlyName=Watch video</x:v>
      </x:c>
      <x:c r="E232" s="18" t="e">
        <x:f>HYPERLINK("transcripts/JBdQGdmXMI0.html","Complete transcript")</x:f>
        <x:v>HYPERLINK is not implemented. linkLocation=transcripts/JBdQGdmXMI0.html, friendlyName=Complete transcript</x:v>
      </x:c>
      <x:c r="F232" s="13" t="str">
        <x:v>UNKNOWN_REQUIRES_REVIEW</x:v>
      </x:c>
      <x:c r="G232" s="17" t="str">
        <x:v>UNREVIEWED</x:v>
      </x:c>
      <x:c r="H232" s="17" t="str"/>
      <x:c r="I232" s="17" t="str"/>
      <x:c r="J232" s="17" t="str"/>
      <x:c r="K232" s="17" t="str"/>
      <x:c r="L232" s="17" t="str"/>
      <x:c r="M232" s="17" t="str">
        <x:v>PENDING WHOLE-VIDEO REVIEW</x:v>
      </x:c>
      <x:c r="N232" s="15" t="n">
        <x:v>230</x:v>
      </x:c>
      <x:c r="O232" s="15" t="n">
        <x:v>1677</x:v>
      </x:c>
      <x:c r="P232" s="15" t="n">
        <x:v>481</x:v>
      </x:c>
      <x:c r="Q232" s="13" t="str">
        <x:v>NO_LARGE_TAIL_GAP</x:v>
      </x:c>
      <x:c r="R232" s="13" t="str"/>
      <x:c r="S232" s="16" t="n">
        <x:v>0</x:v>
      </x:c>
      <x:c r="T232" s="13" t="str">
        <x:v>fa442182682ae068b62e1891915d2cb9cfed3c67ae55a896bcbce101deea1854</x:v>
      </x:c>
    </x:row>
    <x:row r="233" ht="15" hidden="0" customHeight="1">
      <x:c r="A233" s="13" t="str">
        <x:v>JH6tzHx22Bg</x:v>
      </x:c>
      <x:c r="B233" s="13" t="str">
        <x:v>Best Stock Picks Today | AMZN Breakout Level 12-21-20</x:v>
      </x:c>
      <x:c r="C233" s="14" t="d">
        <x:v>2020-12-21T00:00:00.000Z</x:v>
      </x:c>
      <x:c r="D233" s="18" t="e">
        <x:f>HYPERLINK("https://www.youtube.com/watch?v=JH6tzHx22Bg","Watch video")</x:f>
        <x:v>HYPERLINK is not implemented. linkLocation=https://www.youtube.com/watch?v=JH6tzHx22Bg, friendlyName=Watch video</x:v>
      </x:c>
      <x:c r="E233" s="18" t="e">
        <x:f>HYPERLINK("transcripts/JH6tzHx22Bg.html","Complete transcript")</x:f>
        <x:v>HYPERLINK is not implemented. linkLocation=transcripts/JH6tzHx22Bg.html, friendlyName=Complete transcript</x:v>
      </x:c>
      <x:c r="F233" s="13" t="str">
        <x:v>PETE_EXPLICIT</x:v>
      </x:c>
      <x:c r="G233" s="17" t="str">
        <x:v>UNREVIEWED</x:v>
      </x:c>
      <x:c r="H233" s="17" t="str"/>
      <x:c r="I233" s="17" t="str"/>
      <x:c r="J233" s="17" t="str"/>
      <x:c r="K233" s="17" t="str"/>
      <x:c r="L233" s="17" t="str"/>
      <x:c r="M233" s="17" t="str">
        <x:v>PENDING WHOLE-VIDEO REVIEW</x:v>
      </x:c>
      <x:c r="N233" s="15" t="n">
        <x:v>341</x:v>
      </x:c>
      <x:c r="O233" s="15" t="n">
        <x:v>2069</x:v>
      </x:c>
      <x:c r="P233" s="15" t="n">
        <x:v>611</x:v>
      </x:c>
      <x:c r="Q233" s="13" t="str">
        <x:v>NO_LARGE_TAIL_GAP</x:v>
      </x:c>
      <x:c r="R233" s="13" t="str"/>
      <x:c r="S233" s="16" t="n">
        <x:v>0</x:v>
      </x:c>
      <x:c r="T233" s="13" t="str">
        <x:v>3d434292fa6b866c41a2970331b6135e24ee0fb4a37f43ec2eef5c27e68010fb</x:v>
      </x:c>
    </x:row>
    <x:row r="234" ht="15" hidden="0" customHeight="1">
      <x:c r="A234" s="13" t="str">
        <x:v>JOj7skiuXnY</x:v>
      </x:c>
      <x:c r="B234" s="13" t="str">
        <x:v>LULU Stock Lululemon Mirror | Best Stock Picks Today 6-30-20</x:v>
      </x:c>
      <x:c r="C234" s="14" t="d">
        <x:v>2020-06-30T00:00:00.000Z</x:v>
      </x:c>
      <x:c r="D234" s="18" t="e">
        <x:f>HYPERLINK("https://www.youtube.com/watch?v=JOj7skiuXnY","Watch video")</x:f>
        <x:v>HYPERLINK is not implemented. linkLocation=https://www.youtube.com/watch?v=JOj7skiuXnY, friendlyName=Watch video</x:v>
      </x:c>
      <x:c r="E234" s="18" t="e">
        <x:f>HYPERLINK("transcripts/JOj7skiuXnY.html","Complete transcript")</x:f>
        <x:v>HYPERLINK is not implemented. linkLocation=transcripts/JOj7skiuXnY.html, friendlyName=Complete transcript</x:v>
      </x:c>
      <x:c r="F234" s="13" t="str">
        <x:v>UNKNOWN_REQUIRES_REVIEW</x:v>
      </x:c>
      <x:c r="G234" s="17" t="str">
        <x:v>UNREVIEWED</x:v>
      </x:c>
      <x:c r="H234" s="17" t="str"/>
      <x:c r="I234" s="17" t="str"/>
      <x:c r="J234" s="17" t="str"/>
      <x:c r="K234" s="17" t="str"/>
      <x:c r="L234" s="17" t="str"/>
      <x:c r="M234" s="17" t="str">
        <x:v>PENDING WHOLE-VIDEO REVIEW</x:v>
      </x:c>
      <x:c r="N234" s="15" t="n">
        <x:v>405</x:v>
      </x:c>
      <x:c r="O234" s="15" t="n">
        <x:v>2982</x:v>
      </x:c>
      <x:c r="P234" s="15" t="n">
        <x:v>819</x:v>
      </x:c>
      <x:c r="Q234" s="13" t="str">
        <x:v>NO_LARGE_TAIL_GAP</x:v>
      </x:c>
      <x:c r="R234" s="13" t="str"/>
      <x:c r="S234" s="16" t="n">
        <x:v>0</x:v>
      </x:c>
      <x:c r="T234" s="13" t="str">
        <x:v>fef97178fc8ed50e33985416b752eeb3b7b793e595aeb52a728f6b7783590fd9</x:v>
      </x:c>
    </x:row>
    <x:row r="235" ht="15" hidden="0" customHeight="1">
      <x:c r="A235" s="13" t="str">
        <x:v>JPwtJik_AsY</x:v>
      </x:c>
      <x:c r="B235" s="13" t="str">
        <x:v>Stock Trading Setups | Daily Candlestick Charts</x:v>
      </x:c>
      <x:c r="C235" s="14" t="d">
        <x:v>2020-08-28T00:00:00.000Z</x:v>
      </x:c>
      <x:c r="D235" s="18" t="e">
        <x:f>HYPERLINK("https://www.youtube.com/watch?v=JPwtJik_AsY","Watch video")</x:f>
        <x:v>HYPERLINK is not implemented. linkLocation=https://www.youtube.com/watch?v=JPwtJik_AsY, friendlyName=Watch video</x:v>
      </x:c>
      <x:c r="E235" s="18" t="e">
        <x:f>HYPERLINK("transcripts/JPwtJik_AsY.html","Complete transcript")</x:f>
        <x:v>HYPERLINK is not implemented. linkLocation=transcripts/JPwtJik_AsY.html, friendlyName=Complete transcript</x:v>
      </x:c>
      <x:c r="F235" s="13" t="str">
        <x:v>PETE_EXPLICIT</x:v>
      </x:c>
      <x:c r="G235" s="17" t="str">
        <x:v>UNREVIEWED</x:v>
      </x:c>
      <x:c r="H235" s="17" t="str"/>
      <x:c r="I235" s="17" t="str"/>
      <x:c r="J235" s="17" t="str"/>
      <x:c r="K235" s="17" t="str"/>
      <x:c r="L235" s="17" t="str"/>
      <x:c r="M235" s="17" t="str">
        <x:v>PENDING WHOLE-VIDEO REVIEW</x:v>
      </x:c>
      <x:c r="N235" s="15" t="n">
        <x:v>602</x:v>
      </x:c>
      <x:c r="O235" s="15" t="n">
        <x:v>3657</x:v>
      </x:c>
      <x:c r="P235" s="15" t="n">
        <x:v>1094</x:v>
      </x:c>
      <x:c r="Q235" s="13" t="str">
        <x:v>NO_LARGE_TAIL_GAP</x:v>
      </x:c>
      <x:c r="R235" s="13" t="str"/>
      <x:c r="S235" s="16" t="n">
        <x:v>0</x:v>
      </x:c>
      <x:c r="T235" s="13" t="str">
        <x:v>b12e78d3eba907f79327f70d61b22d953f6507b07ea21b792979e49a8f09fd23</x:v>
      </x:c>
    </x:row>
    <x:row r="236" ht="15" hidden="0" customHeight="1">
      <x:c r="A236" s="13" t="str">
        <x:v>JTT7j1eUHOc</x:v>
      </x:c>
      <x:c r="B236" s="13" t="str">
        <x:v>Stock Trading Strategies | How Winners Win</x:v>
      </x:c>
      <x:c r="C236" s="14" t="d">
        <x:v>2020-09-03T00:00:00.000Z</x:v>
      </x:c>
      <x:c r="D236" s="18" t="e">
        <x:f>HYPERLINK("https://www.youtube.com/watch?v=JTT7j1eUHOc","Watch video")</x:f>
        <x:v>HYPERLINK is not implemented. linkLocation=https://www.youtube.com/watch?v=JTT7j1eUHOc, friendlyName=Watch video</x:v>
      </x:c>
      <x:c r="E236" s="18" t="e">
        <x:f>HYPERLINK("transcripts/JTT7j1eUHOc.html","Complete transcript")</x:f>
        <x:v>HYPERLINK is not implemented. linkLocation=transcripts/JTT7j1eUHOc.html, friendlyName=Complete transcript</x:v>
      </x:c>
      <x:c r="F236" s="13" t="str">
        <x:v>PETE_EXPLICIT</x:v>
      </x:c>
      <x:c r="G236" s="17" t="str">
        <x:v>UNREVIEWED</x:v>
      </x:c>
      <x:c r="H236" s="17" t="str"/>
      <x:c r="I236" s="17" t="str"/>
      <x:c r="J236" s="17" t="str"/>
      <x:c r="K236" s="17" t="str"/>
      <x:c r="L236" s="17" t="str"/>
      <x:c r="M236" s="17" t="str">
        <x:v>PENDING WHOLE-VIDEO REVIEW</x:v>
      </x:c>
      <x:c r="N236" s="15" t="n">
        <x:v>579</x:v>
      </x:c>
      <x:c r="O236" s="15" t="n">
        <x:v>3529</x:v>
      </x:c>
      <x:c r="P236" s="15" t="n">
        <x:v>1038</x:v>
      </x:c>
      <x:c r="Q236" s="13" t="str">
        <x:v>NO_LARGE_TAIL_GAP</x:v>
      </x:c>
      <x:c r="R236" s="13" t="str"/>
      <x:c r="S236" s="16" t="n">
        <x:v>0</x:v>
      </x:c>
      <x:c r="T236" s="13" t="str">
        <x:v>d01b28f0b1ad012f4601ffcb04db3318ca1968d6408c45cca06eaaf256b1f9a5</x:v>
      </x:c>
    </x:row>
    <x:row r="237" ht="15" hidden="0" customHeight="1">
      <x:c r="A237" s="13" t="str">
        <x:v>JW0aMqkFGnA</x:v>
      </x:c>
      <x:c r="B237" s="13" t="str">
        <x:v>MSFT TikTok Buyout 8-3-20 - Best Stock Picks Today</x:v>
      </x:c>
      <x:c r="C237" s="14" t="d">
        <x:v>2020-08-03T00:00:00.000Z</x:v>
      </x:c>
      <x:c r="D237" s="18" t="e">
        <x:f>HYPERLINK("https://www.youtube.com/watch?v=JW0aMqkFGnA","Watch video")</x:f>
        <x:v>HYPERLINK is not implemented. linkLocation=https://www.youtube.com/watch?v=JW0aMqkFGnA, friendlyName=Watch video</x:v>
      </x:c>
      <x:c r="E237" s="18" t="e">
        <x:f>HYPERLINK("transcripts/JW0aMqkFGnA.html","Complete transcript")</x:f>
        <x:v>HYPERLINK is not implemented. linkLocation=transcripts/JW0aMqkFGnA.html, friendlyName=Complete transcript</x:v>
      </x:c>
      <x:c r="F237" s="13" t="str">
        <x:v>PETE_EXPLICIT</x:v>
      </x:c>
      <x:c r="G237" s="17" t="str">
        <x:v>UNREVIEWED</x:v>
      </x:c>
      <x:c r="H237" s="17" t="str"/>
      <x:c r="I237" s="17" t="str"/>
      <x:c r="J237" s="17" t="str"/>
      <x:c r="K237" s="17" t="str"/>
      <x:c r="L237" s="17" t="str"/>
      <x:c r="M237" s="17" t="str">
        <x:v>PENDING WHOLE-VIDEO REVIEW</x:v>
      </x:c>
      <x:c r="N237" s="15" t="n">
        <x:v>433</x:v>
      </x:c>
      <x:c r="O237" s="15" t="n">
        <x:v>2698</x:v>
      </x:c>
      <x:c r="P237" s="15" t="n">
        <x:v>746</x:v>
      </x:c>
      <x:c r="Q237" s="13" t="str">
        <x:v>NO_LARGE_TAIL_GAP</x:v>
      </x:c>
      <x:c r="R237" s="13" t="str"/>
      <x:c r="S237" s="16" t="n">
        <x:v>0</x:v>
      </x:c>
      <x:c r="T237" s="13" t="str">
        <x:v>0a891c5d5aeb16f3e3e0123b5a2582571463d4fa29ad35ed8f1d58620e07a5b3</x:v>
      </x:c>
    </x:row>
    <x:row r="238" ht="15" hidden="0" customHeight="1">
      <x:c r="A238" s="13" t="str">
        <x:v>Ji6p8ZfwPls</x:v>
      </x:c>
      <x:c r="B238" s="13" t="str">
        <x:v>Position Sizing for Your Swing Trading Portfolio</x:v>
      </x:c>
      <x:c r="C238" s="14" t="d">
        <x:v>2026-05-06T00:00:00.000Z</x:v>
      </x:c>
      <x:c r="D238" s="18" t="e">
        <x:f>HYPERLINK("https://www.youtube.com/watch?v=Ji6p8ZfwPls","Watch video")</x:f>
        <x:v>HYPERLINK is not implemented. linkLocation=https://www.youtube.com/watch?v=Ji6p8ZfwPls, friendlyName=Watch video</x:v>
      </x:c>
      <x:c r="E238" s="18" t="e">
        <x:f>HYPERLINK("transcripts/Ji6p8ZfwPls.html","Complete transcript")</x:f>
        <x:v>HYPERLINK is not implemented. linkLocation=transcripts/Ji6p8ZfwPls.html, friendlyName=Complete transcript</x:v>
      </x:c>
      <x:c r="F238" s="13" t="str">
        <x:v>UNKNOWN_REQUIRES_REVIEW</x:v>
      </x:c>
      <x:c r="G238" s="17" t="str">
        <x:v>UNREVIEWED</x:v>
      </x:c>
      <x:c r="H238" s="17" t="str"/>
      <x:c r="I238" s="17" t="str"/>
      <x:c r="J238" s="17" t="str"/>
      <x:c r="K238" s="17" t="str"/>
      <x:c r="L238" s="17" t="str"/>
      <x:c r="M238" s="17" t="str">
        <x:v>PENDING WHOLE-VIDEO REVIEW</x:v>
      </x:c>
      <x:c r="N238" s="15" t="n">
        <x:v>240</x:v>
      </x:c>
      <x:c r="O238" s="15" t="n">
        <x:v>1472</x:v>
      </x:c>
      <x:c r="P238" s="15" t="n">
        <x:v>509</x:v>
      </x:c>
      <x:c r="Q238" s="13" t="str">
        <x:v>NO_LARGE_TAIL_GAP</x:v>
      </x:c>
      <x:c r="R238" s="13" t="str"/>
      <x:c r="S238" s="16" t="n">
        <x:v>0</x:v>
      </x:c>
      <x:c r="T238" s="13" t="str">
        <x:v>3dc16f7bff2f39fc31a8e34810e0e34e5149511d7ede76b892a5720e18ec6b6d</x:v>
      </x:c>
    </x:row>
    <x:row r="239" ht="15" hidden="0" customHeight="1">
      <x:c r="A239" s="13" t="str">
        <x:v>JjbX2r7p2ZQ</x:v>
      </x:c>
      <x:c r="B239" s="13" t="str">
        <x:v>Trading Success: Golden Rules From 16 Years of Experience</x:v>
      </x:c>
      <x:c r="C239" s="14" t="d">
        <x:v>2016-11-04T00:00:00.000Z</x:v>
      </x:c>
      <x:c r="D239" s="18" t="e">
        <x:f>HYPERLINK("https://www.youtube.com/watch?v=JjbX2r7p2ZQ","Watch video")</x:f>
        <x:v>HYPERLINK is not implemented. linkLocation=https://www.youtube.com/watch?v=JjbX2r7p2ZQ, friendlyName=Watch video</x:v>
      </x:c>
      <x:c r="E239" s="18" t="e">
        <x:f>HYPERLINK("transcripts/JjbX2r7p2ZQ.html","Complete transcript")</x:f>
        <x:v>HYPERLINK is not implemented. linkLocation=transcripts/JjbX2r7p2ZQ.html, friendlyName=Complete transcript</x:v>
      </x:c>
      <x:c r="F239" s="13" t="str">
        <x:v>UNKNOWN_REQUIRES_REVIEW</x:v>
      </x:c>
      <x:c r="G239" s="17" t="str">
        <x:v>UNREVIEWED</x:v>
      </x:c>
      <x:c r="H239" s="17" t="str"/>
      <x:c r="I239" s="17" t="str"/>
      <x:c r="J239" s="17" t="str"/>
      <x:c r="K239" s="17" t="str"/>
      <x:c r="L239" s="17" t="str"/>
      <x:c r="M239" s="17" t="str">
        <x:v>PENDING WHOLE-VIDEO REVIEW</x:v>
      </x:c>
      <x:c r="N239" s="15" t="n">
        <x:v>1550</x:v>
      </x:c>
      <x:c r="O239" s="15" t="n">
        <x:v>11164</x:v>
      </x:c>
      <x:c r="P239" s="15" t="n">
        <x:v>3305</x:v>
      </x:c>
      <x:c r="Q239" s="13" t="str">
        <x:v>NO_LARGE_TAIL_GAP</x:v>
      </x:c>
      <x:c r="R239" s="13" t="str"/>
      <x:c r="S239" s="16" t="n">
        <x:v>0</x:v>
      </x:c>
      <x:c r="T239" s="13" t="str">
        <x:v>6ec36ba2bf312afbd787b34dc89d289f6fe192f0dcb4d580c6482f8035530660</x:v>
      </x:c>
    </x:row>
    <x:row r="240" ht="15" hidden="0" customHeight="1">
      <x:c r="A240" s="13" t="str">
        <x:v>Jqup9n8BifM</x:v>
      </x:c>
      <x:c r="B240" s="13" t="str">
        <x:v>Mastering Tape Reading: Combine Price Action and Volume</x:v>
      </x:c>
      <x:c r="C240" s="14" t="d">
        <x:v>2020-07-09T00:00:00.000Z</x:v>
      </x:c>
      <x:c r="D240" s="18" t="e">
        <x:f>HYPERLINK("https://www.youtube.com/watch?v=Jqup9n8BifM","Watch video")</x:f>
        <x:v>HYPERLINK is not implemented. linkLocation=https://www.youtube.com/watch?v=Jqup9n8BifM, friendlyName=Watch video</x:v>
      </x:c>
      <x:c r="E240" s="18" t="e">
        <x:f>HYPERLINK("transcripts/Jqup9n8BifM.html","Complete transcript")</x:f>
        <x:v>HYPERLINK is not implemented. linkLocation=transcripts/Jqup9n8BifM.html, friendlyName=Complete transcript</x:v>
      </x:c>
      <x:c r="F240" s="13" t="str">
        <x:v>UNKNOWN_REQUIRES_REVIEW</x:v>
      </x:c>
      <x:c r="G240" s="17" t="str">
        <x:v>UNREVIEWED</x:v>
      </x:c>
      <x:c r="H240" s="17" t="str"/>
      <x:c r="I240" s="17" t="str"/>
      <x:c r="J240" s="17" t="str"/>
      <x:c r="K240" s="17" t="str"/>
      <x:c r="L240" s="17" t="str"/>
      <x:c r="M240" s="17" t="str">
        <x:v>PENDING WHOLE-VIDEO REVIEW</x:v>
      </x:c>
      <x:c r="N240" s="15" t="n">
        <x:v>569</x:v>
      </x:c>
      <x:c r="O240" s="15" t="n">
        <x:v>4153</x:v>
      </x:c>
      <x:c r="P240" s="15" t="n">
        <x:v>1313</x:v>
      </x:c>
      <x:c r="Q240" s="13" t="str">
        <x:v>NO_LARGE_TAIL_GAP</x:v>
      </x:c>
      <x:c r="R240" s="13" t="str"/>
      <x:c r="S240" s="16" t="n">
        <x:v>0</x:v>
      </x:c>
      <x:c r="T240" s="13" t="str">
        <x:v>2f1fa961a9da544131a6db90275ca472a7dd10bd7529c8bb3c57eae27c99d53e</x:v>
      </x:c>
    </x:row>
    <x:row r="241" ht="15" hidden="0" customHeight="1">
      <x:c r="A241" s="13" t="str">
        <x:v>JtlGKCXgg1k</x:v>
      </x:c>
      <x:c r="B241" s="13" t="str">
        <x:v>REGN Seeks Emergency FDA Approval | Best Stock Picks Today 10-8-20</x:v>
      </x:c>
      <x:c r="C241" s="14" t="d">
        <x:v>2020-10-08T00:00:00.000Z</x:v>
      </x:c>
      <x:c r="D241" s="18" t="e">
        <x:f>HYPERLINK("https://www.youtube.com/watch?v=JtlGKCXgg1k","Watch video")</x:f>
        <x:v>HYPERLINK is not implemented. linkLocation=https://www.youtube.com/watch?v=JtlGKCXgg1k, friendlyName=Watch video</x:v>
      </x:c>
      <x:c r="E241" s="18" t="e">
        <x:f>HYPERLINK("transcripts/JtlGKCXgg1k.html","Complete transcript")</x:f>
        <x:v>HYPERLINK is not implemented. linkLocation=transcripts/JtlGKCXgg1k.html, friendlyName=Complete transcript</x:v>
      </x:c>
      <x:c r="F241" s="13" t="str">
        <x:v>PETE_EXPLICIT</x:v>
      </x:c>
      <x:c r="G241" s="17" t="str">
        <x:v>UNREVIEWED</x:v>
      </x:c>
      <x:c r="H241" s="17" t="str"/>
      <x:c r="I241" s="17" t="str"/>
      <x:c r="J241" s="17" t="str"/>
      <x:c r="K241" s="17" t="str"/>
      <x:c r="L241" s="17" t="str"/>
      <x:c r="M241" s="17" t="str">
        <x:v>PENDING WHOLE-VIDEO REVIEW</x:v>
      </x:c>
      <x:c r="N241" s="15" t="n">
        <x:v>371</x:v>
      </x:c>
      <x:c r="O241" s="15" t="n">
        <x:v>2261</x:v>
      </x:c>
      <x:c r="P241" s="15" t="n">
        <x:v>671</x:v>
      </x:c>
      <x:c r="Q241" s="13" t="str">
        <x:v>NO_LARGE_TAIL_GAP</x:v>
      </x:c>
      <x:c r="R241" s="13" t="str"/>
      <x:c r="S241" s="16" t="n">
        <x:v>0</x:v>
      </x:c>
      <x:c r="T241" s="13" t="str">
        <x:v>a1754c81c9698fece597bc4171d57b2294841f87dd8fc746a1703e677f58e7c1</x:v>
      </x:c>
    </x:row>
    <x:row r="242" ht="15" hidden="0" customHeight="1">
      <x:c r="A242" s="13" t="str">
        <x:v>Jw8sgy0GIl4</x:v>
      </x:c>
      <x:c r="B242" s="13" t="str">
        <x:v>Options Trading: Must Knows On How To Trade Into A Fed Day</x:v>
      </x:c>
      <x:c r="C242" s="14" t="d">
        <x:v>2024-07-10T00:00:00.000Z</x:v>
      </x:c>
      <x:c r="D242" s="18" t="e">
        <x:f>HYPERLINK("https://www.youtube.com/watch?v=Jw8sgy0GIl4","Watch video")</x:f>
        <x:v>HYPERLINK is not implemented. linkLocation=https://www.youtube.com/watch?v=Jw8sgy0GIl4, friendlyName=Watch video</x:v>
      </x:c>
      <x:c r="E242" s="18" t="e">
        <x:f>HYPERLINK("transcripts/Jw8sgy0GIl4.html","Complete transcript")</x:f>
        <x:v>HYPERLINK is not implemented. linkLocation=transcripts/Jw8sgy0GIl4.html, friendlyName=Complete transcript</x:v>
      </x:c>
      <x:c r="F242" s="13" t="str">
        <x:v>NON_PETE_EXPLICIT_JOHN</x:v>
      </x:c>
      <x:c r="G242" s="17" t="str">
        <x:v>UNREVIEWED</x:v>
      </x:c>
      <x:c r="H242" s="17" t="str"/>
      <x:c r="I242" s="17" t="str"/>
      <x:c r="J242" s="17" t="str"/>
      <x:c r="K242" s="17" t="str"/>
      <x:c r="L242" s="17" t="str"/>
      <x:c r="M242" s="17" t="str">
        <x:v>PENDING WHOLE-VIDEO REVIEW</x:v>
      </x:c>
      <x:c r="N242" s="15" t="n">
        <x:v>178</x:v>
      </x:c>
      <x:c r="O242" s="15" t="n">
        <x:v>1324</x:v>
      </x:c>
      <x:c r="P242" s="15" t="n">
        <x:v>418</x:v>
      </x:c>
      <x:c r="Q242" s="13" t="str">
        <x:v>NO_LARGE_TAIL_GAP</x:v>
      </x:c>
      <x:c r="R242" s="13" t="str"/>
      <x:c r="S242" s="16" t="n">
        <x:v>0</x:v>
      </x:c>
      <x:c r="T242" s="13" t="str">
        <x:v>458905509123487ba5fb507d8521fe58824194b5882940f44bf9e5dda5301162</x:v>
      </x:c>
    </x:row>
    <x:row r="243" ht="15" hidden="0" customHeight="1">
      <x:c r="A243" s="13" t="str">
        <x:v>Jx3WLWmyCDQ</x:v>
      </x:c>
      <x:c r="B243" s="13" t="str">
        <x:v>Stocks for Breakfast | Eliminate Losing Trades</x:v>
      </x:c>
      <x:c r="C243" s="14" t="d">
        <x:v>2021-01-07T00:00:00.000Z</x:v>
      </x:c>
      <x:c r="D243" s="18" t="e">
        <x:f>HYPERLINK("https://www.youtube.com/watch?v=Jx3WLWmyCDQ","Watch video")</x:f>
        <x:v>HYPERLINK is not implemented. linkLocation=https://www.youtube.com/watch?v=Jx3WLWmyCDQ, friendlyName=Watch video</x:v>
      </x:c>
      <x:c r="E243" s="18" t="e">
        <x:f>HYPERLINK("transcripts/Jx3WLWmyCDQ.html","Complete transcript")</x:f>
        <x:v>HYPERLINK is not implemented. linkLocation=transcripts/Jx3WLWmyCDQ.html, friendlyName=Complete transcript</x:v>
      </x:c>
      <x:c r="F243" s="13" t="str">
        <x:v>PETE_EXPLICIT</x:v>
      </x:c>
      <x:c r="G243" s="17" t="str">
        <x:v>UNREVIEWED</x:v>
      </x:c>
      <x:c r="H243" s="17" t="str"/>
      <x:c r="I243" s="17" t="str"/>
      <x:c r="J243" s="17" t="str"/>
      <x:c r="K243" s="17" t="str"/>
      <x:c r="L243" s="17" t="str"/>
      <x:c r="M243" s="17" t="str">
        <x:v>PENDING WHOLE-VIDEO REVIEW</x:v>
      </x:c>
      <x:c r="N243" s="15" t="n">
        <x:v>261</x:v>
      </x:c>
      <x:c r="O243" s="15" t="n">
        <x:v>1591</x:v>
      </x:c>
      <x:c r="P243" s="15" t="n">
        <x:v>474</x:v>
      </x:c>
      <x:c r="Q243" s="13" t="str">
        <x:v>NO_LARGE_TAIL_GAP</x:v>
      </x:c>
      <x:c r="R243" s="13" t="str"/>
      <x:c r="S243" s="16" t="n">
        <x:v>0</x:v>
      </x:c>
      <x:c r="T243" s="13" t="str">
        <x:v>fed538f6788ae61e84d6996d9473ac01ea9f66161caea7a1e2f42ce2c258acd4</x:v>
      </x:c>
    </x:row>
    <x:row r="244" ht="15" hidden="0" customHeight="1">
      <x:c r="A244" s="13" t="str">
        <x:v>K3qezUKESug</x:v>
      </x:c>
      <x:c r="B244" s="13" t="str">
        <x:v>Best Stock Picks Today | TSLA Stock of the Year 12-31-20</x:v>
      </x:c>
      <x:c r="C244" s="14" t="d">
        <x:v>2020-12-31T00:00:00.000Z</x:v>
      </x:c>
      <x:c r="D244" s="18" t="e">
        <x:f>HYPERLINK("https://www.youtube.com/watch?v=K3qezUKESug","Watch video")</x:f>
        <x:v>HYPERLINK is not implemented. linkLocation=https://www.youtube.com/watch?v=K3qezUKESug, friendlyName=Watch video</x:v>
      </x:c>
      <x:c r="E244" s="18" t="e">
        <x:f>HYPERLINK("transcripts/K3qezUKESug.html","Complete transcript")</x:f>
        <x:v>HYPERLINK is not implemented. linkLocation=transcripts/K3qezUKESug.html, friendlyName=Complete transcript</x:v>
      </x:c>
      <x:c r="F244" s="13" t="str">
        <x:v>PETE_EXPLICIT</x:v>
      </x:c>
      <x:c r="G244" s="17" t="str">
        <x:v>UNREVIEWED</x:v>
      </x:c>
      <x:c r="H244" s="17" t="str"/>
      <x:c r="I244" s="17" t="str"/>
      <x:c r="J244" s="17" t="str"/>
      <x:c r="K244" s="17" t="str"/>
      <x:c r="L244" s="17" t="str"/>
      <x:c r="M244" s="17" t="str">
        <x:v>PENDING WHOLE-VIDEO REVIEW</x:v>
      </x:c>
      <x:c r="N244" s="15" t="n">
        <x:v>660</x:v>
      </x:c>
      <x:c r="O244" s="15" t="n">
        <x:v>4154</x:v>
      </x:c>
      <x:c r="P244" s="15" t="n">
        <x:v>1174</x:v>
      </x:c>
      <x:c r="Q244" s="13" t="str">
        <x:v>NO_LARGE_TAIL_GAP</x:v>
      </x:c>
      <x:c r="R244" s="13" t="str"/>
      <x:c r="S244" s="16" t="n">
        <x:v>0</x:v>
      </x:c>
      <x:c r="T244" s="13" t="str">
        <x:v>9e9e9df98f5d67ee649ee4ba3ebf2839379136482d1f22ab564c224b076aac65</x:v>
      </x:c>
    </x:row>
    <x:row r="245" ht="15" hidden="0" customHeight="1">
      <x:c r="A245" s="13" t="str">
        <x:v>K5JZNCWIhZo</x:v>
      </x:c>
      <x:c r="B245" s="13" t="str">
        <x:v>Finviz Screener: Find Hot Stocks to Trade in 20 Minutes</x:v>
      </x:c>
      <x:c r="C245" s="14" t="d">
        <x:v>2020-07-29T00:00:00.000Z</x:v>
      </x:c>
      <x:c r="D245" s="18" t="e">
        <x:f>HYPERLINK("https://www.youtube.com/watch?v=K5JZNCWIhZo","Watch video")</x:f>
        <x:v>HYPERLINK is not implemented. linkLocation=https://www.youtube.com/watch?v=K5JZNCWIhZo, friendlyName=Watch video</x:v>
      </x:c>
      <x:c r="E245" s="18" t="e">
        <x:f>HYPERLINK("transcripts/K5JZNCWIhZo.html","Complete transcript")</x:f>
        <x:v>HYPERLINK is not implemented. linkLocation=transcripts/K5JZNCWIhZo.html, friendlyName=Complete transcript</x:v>
      </x:c>
      <x:c r="F245" s="13" t="str">
        <x:v>PETE_EXPLICIT</x:v>
      </x:c>
      <x:c r="G245" s="17" t="str">
        <x:v>UNREVIEWED</x:v>
      </x:c>
      <x:c r="H245" s="17" t="str"/>
      <x:c r="I245" s="17" t="str"/>
      <x:c r="J245" s="17" t="str"/>
      <x:c r="K245" s="17" t="str"/>
      <x:c r="L245" s="17" t="str"/>
      <x:c r="M245" s="17" t="str">
        <x:v>PENDING WHOLE-VIDEO REVIEW</x:v>
      </x:c>
      <x:c r="N245" s="15" t="n">
        <x:v>697</x:v>
      </x:c>
      <x:c r="O245" s="15" t="n">
        <x:v>4362</x:v>
      </x:c>
      <x:c r="P245" s="15" t="n">
        <x:v>1238</x:v>
      </x:c>
      <x:c r="Q245" s="13" t="str">
        <x:v>NO_LARGE_TAIL_GAP</x:v>
      </x:c>
      <x:c r="R245" s="13" t="str"/>
      <x:c r="S245" s="16" t="n">
        <x:v>0</x:v>
      </x:c>
      <x:c r="T245" s="13" t="str">
        <x:v>bf3cada87f3927995f77d0f81d12afc836994fff7014566eefb8e6696ace73a3</x:v>
      </x:c>
    </x:row>
    <x:row r="246" ht="15" hidden="0" customHeight="1">
      <x:c r="A246" s="13" t="str">
        <x:v>K69c3zwULeE</x:v>
      </x:c>
      <x:c r="B246" s="13" t="str">
        <x:v>Stock Market Bull 4 8 20 | Stocks for Breakfast</x:v>
      </x:c>
      <x:c r="C246" s="14" t="d">
        <x:v>2020-04-08T00:00:00.000Z</x:v>
      </x:c>
      <x:c r="D246" s="18" t="e">
        <x:f>HYPERLINK("https://www.youtube.com/watch?v=K69c3zwULeE","Watch video")</x:f>
        <x:v>HYPERLINK is not implemented. linkLocation=https://www.youtube.com/watch?v=K69c3zwULeE, friendlyName=Watch video</x:v>
      </x:c>
      <x:c r="E246" s="18" t="e">
        <x:f>HYPERLINK("transcripts/K69c3zwULeE.html","Complete transcript")</x:f>
        <x:v>HYPERLINK is not implemented. linkLocation=transcripts/K69c3zwULeE.html, friendlyName=Complete transcript</x:v>
      </x:c>
      <x:c r="F246" s="13" t="str">
        <x:v>UNKNOWN_REQUIRES_REVIEW</x:v>
      </x:c>
      <x:c r="G246" s="17" t="str">
        <x:v>UNREVIEWED</x:v>
      </x:c>
      <x:c r="H246" s="17" t="str"/>
      <x:c r="I246" s="17" t="str"/>
      <x:c r="J246" s="17" t="str"/>
      <x:c r="K246" s="17" t="str"/>
      <x:c r="L246" s="17" t="str"/>
      <x:c r="M246" s="17" t="str">
        <x:v>PENDING WHOLE-VIDEO REVIEW</x:v>
      </x:c>
      <x:c r="N246" s="15" t="n">
        <x:v>661</x:v>
      </x:c>
      <x:c r="O246" s="15" t="n">
        <x:v>4877</x:v>
      </x:c>
      <x:c r="P246" s="15" t="n">
        <x:v>1482</x:v>
      </x:c>
      <x:c r="Q246" s="13" t="str">
        <x:v>NO_LARGE_TAIL_GAP</x:v>
      </x:c>
      <x:c r="R246" s="13" t="str"/>
      <x:c r="S246" s="16" t="n">
        <x:v>0</x:v>
      </x:c>
      <x:c r="T246" s="13" t="str">
        <x:v>921abcd76fc834da8d7d92d19b82987d090d68497e80a87fbb2b5c25d2632252</x:v>
      </x:c>
    </x:row>
    <x:row r="247" ht="15" hidden="0" customHeight="1">
      <x:c r="A247" s="13" t="str">
        <x:v>K9nGy9orfWE</x:v>
      </x:c>
      <x:c r="B247" s="13" t="str">
        <x:v>SPY ETF Trade 6-15-20 | Best Stock Picks Today</x:v>
      </x:c>
      <x:c r="C247" s="14" t="d">
        <x:v>2020-06-15T00:00:00.000Z</x:v>
      </x:c>
      <x:c r="D247" s="18" t="e">
        <x:f>HYPERLINK("https://www.youtube.com/watch?v=K9nGy9orfWE","Watch video")</x:f>
        <x:v>HYPERLINK is not implemented. linkLocation=https://www.youtube.com/watch?v=K9nGy9orfWE, friendlyName=Watch video</x:v>
      </x:c>
      <x:c r="E247" s="18" t="e">
        <x:f>HYPERLINK("transcripts/K9nGy9orfWE.html","Complete transcript")</x:f>
        <x:v>HYPERLINK is not implemented. linkLocation=transcripts/K9nGy9orfWE.html, friendlyName=Complete transcript</x:v>
      </x:c>
      <x:c r="F247" s="13" t="str">
        <x:v>UNKNOWN_REQUIRES_REVIEW</x:v>
      </x:c>
      <x:c r="G247" s="17" t="str">
        <x:v>UNREVIEWED</x:v>
      </x:c>
      <x:c r="H247" s="17" t="str"/>
      <x:c r="I247" s="17" t="str"/>
      <x:c r="J247" s="17" t="str"/>
      <x:c r="K247" s="17" t="str"/>
      <x:c r="L247" s="17" t="str"/>
      <x:c r="M247" s="17" t="str">
        <x:v>PENDING WHOLE-VIDEO REVIEW</x:v>
      </x:c>
      <x:c r="N247" s="15" t="n">
        <x:v>537</x:v>
      </x:c>
      <x:c r="O247" s="15" t="n">
        <x:v>3910</x:v>
      </x:c>
      <x:c r="P247" s="15" t="n">
        <x:v>1152</x:v>
      </x:c>
      <x:c r="Q247" s="13" t="str">
        <x:v>NO_LARGE_TAIL_GAP</x:v>
      </x:c>
      <x:c r="R247" s="13" t="str"/>
      <x:c r="S247" s="16" t="n">
        <x:v>0</x:v>
      </x:c>
      <x:c r="T247" s="13" t="str">
        <x:v>22fbc8ecb79e986e8ec1f9b00c633d85d6caf5580b11850261b4f4cfa45229d1</x:v>
      </x:c>
    </x:row>
    <x:row r="248" ht="15" hidden="0" customHeight="1">
      <x:c r="A248" s="13" t="str">
        <x:v>KGCv_w50sWE</x:v>
      </x:c>
      <x:c r="B248" s="13" t="str">
        <x:v>How To Use a Stock Trading Screener for New Ideas</x:v>
      </x:c>
      <x:c r="C248" s="14" t="d">
        <x:v>2020-05-22T00:00:00.000Z</x:v>
      </x:c>
      <x:c r="D248" s="18" t="e">
        <x:f>HYPERLINK("https://www.youtube.com/watch?v=KGCv_w50sWE","Watch video")</x:f>
        <x:v>HYPERLINK is not implemented. linkLocation=https://www.youtube.com/watch?v=KGCv_w50sWE, friendlyName=Watch video</x:v>
      </x:c>
      <x:c r="E248" s="18" t="e">
        <x:f>HYPERLINK("transcripts/KGCv_w50sWE.html","Complete transcript")</x:f>
        <x:v>HYPERLINK is not implemented. linkLocation=transcripts/KGCv_w50sWE.html, friendlyName=Complete transcript</x:v>
      </x:c>
      <x:c r="F248" s="13" t="str">
        <x:v>PETE_EXPLICIT</x:v>
      </x:c>
      <x:c r="G248" s="17" t="str">
        <x:v>UNREVIEWED</x:v>
      </x:c>
      <x:c r="H248" s="17" t="str"/>
      <x:c r="I248" s="17" t="str"/>
      <x:c r="J248" s="17" t="str"/>
      <x:c r="K248" s="17" t="str"/>
      <x:c r="L248" s="17" t="str"/>
      <x:c r="M248" s="17" t="str">
        <x:v>PENDING WHOLE-VIDEO REVIEW</x:v>
      </x:c>
      <x:c r="N248" s="15" t="n">
        <x:v>386</x:v>
      </x:c>
      <x:c r="O248" s="15" t="n">
        <x:v>2807</x:v>
      </x:c>
      <x:c r="P248" s="15" t="n">
        <x:v>913</x:v>
      </x:c>
      <x:c r="Q248" s="13" t="str">
        <x:v>NO_LARGE_TAIL_GAP</x:v>
      </x:c>
      <x:c r="R248" s="13" t="str"/>
      <x:c r="S248" s="16" t="n">
        <x:v>0</x:v>
      </x:c>
      <x:c r="T248" s="13" t="str">
        <x:v>d3eb23620d99ab4bb86d11168dc3c130b86cb519a25b2730e9e3132074efb47d</x:v>
      </x:c>
    </x:row>
    <x:row r="249" ht="15" hidden="0" customHeight="1">
      <x:c r="A249" s="13" t="str">
        <x:v>KJzgKltsPac</x:v>
      </x:c>
      <x:c r="B249" s="13" t="str">
        <x:v>Trading TWTR Stock Twitter | 5-29-20 Best Stock Picks Today</x:v>
      </x:c>
      <x:c r="C249" s="14" t="d">
        <x:v>2020-05-29T00:00:00.000Z</x:v>
      </x:c>
      <x:c r="D249" s="18" t="e">
        <x:f>HYPERLINK("https://www.youtube.com/watch?v=KJzgKltsPac","Watch video")</x:f>
        <x:v>HYPERLINK is not implemented. linkLocation=https://www.youtube.com/watch?v=KJzgKltsPac, friendlyName=Watch video</x:v>
      </x:c>
      <x:c r="E249" s="18" t="e">
        <x:f>HYPERLINK("transcripts/KJzgKltsPac.html","Complete transcript")</x:f>
        <x:v>HYPERLINK is not implemented. linkLocation=transcripts/KJzgKltsPac.html, friendlyName=Complete transcript</x:v>
      </x:c>
      <x:c r="F249" s="13" t="str">
        <x:v>UNKNOWN_REQUIRES_REVIEW</x:v>
      </x:c>
      <x:c r="G249" s="17" t="str">
        <x:v>UNREVIEWED</x:v>
      </x:c>
      <x:c r="H249" s="17" t="str"/>
      <x:c r="I249" s="17" t="str"/>
      <x:c r="J249" s="17" t="str"/>
      <x:c r="K249" s="17" t="str"/>
      <x:c r="L249" s="17" t="str"/>
      <x:c r="M249" s="17" t="str">
        <x:v>PENDING WHOLE-VIDEO REVIEW</x:v>
      </x:c>
      <x:c r="N249" s="15" t="n">
        <x:v>343</x:v>
      </x:c>
      <x:c r="O249" s="15" t="n">
        <x:v>2521</x:v>
      </x:c>
      <x:c r="P249" s="15" t="n">
        <x:v>718</x:v>
      </x:c>
      <x:c r="Q249" s="13" t="str">
        <x:v>NO_LARGE_TAIL_GAP</x:v>
      </x:c>
      <x:c r="R249" s="13" t="str"/>
      <x:c r="S249" s="16" t="n">
        <x:v>0</x:v>
      </x:c>
      <x:c r="T249" s="13" t="str">
        <x:v>6a5b5c07a2b9c837b6c0b3c4b52172edcbdf38215a9d6a256ab179b8bb0f392c</x:v>
      </x:c>
    </x:row>
    <x:row r="250" ht="15" hidden="0" customHeight="1">
      <x:c r="A250" s="13" t="str">
        <x:v>KMBsws4H_Sg</x:v>
      </x:c>
      <x:c r="B250" s="13" t="str">
        <x:v>Trading with Passion | Pete Renzulli</x:v>
      </x:c>
      <x:c r="C250" s="14" t="d">
        <x:v>2015-04-22T00:00:00.000Z</x:v>
      </x:c>
      <x:c r="D250" s="18" t="e">
        <x:f>HYPERLINK("https://www.youtube.com/watch?v=KMBsws4H_Sg","Watch video")</x:f>
        <x:v>HYPERLINK is not implemented. linkLocation=https://www.youtube.com/watch?v=KMBsws4H_Sg, friendlyName=Watch video</x:v>
      </x:c>
      <x:c r="E250" s="18" t="e">
        <x:f>HYPERLINK("transcripts/KMBsws4H_Sg.html","Complete transcript")</x:f>
        <x:v>HYPERLINK is not implemented. linkLocation=transcripts/KMBsws4H_Sg.html, friendlyName=Complete transcript</x:v>
      </x:c>
      <x:c r="F250" s="13" t="str">
        <x:v>UNKNOWN_REQUIRES_REVIEW</x:v>
      </x:c>
      <x:c r="G250" s="17" t="str">
        <x:v>Promotional / motivational</x:v>
      </x:c>
      <x:c r="H250" s="17" t="str">
        <x:v>Mentoring and learning motivation</x:v>
      </x:c>
      <x:c r="I250" s="17" t="str">
        <x:v>Encourages learning from experienced traders and taking the next step in mentoring.</x:v>
      </x:c>
      <x:c r="J250" s="17" t="str">
        <x:v>Learning process</x:v>
      </x:c>
      <x:c r="K250" s="17" t="str">
        <x:v>Contains no developed trading decision procedure; title names Pete but transcript lacks explicit identification.</x:v>
      </x:c>
      <x:c r="L250" s="17" t="str">
        <x:v>Keep as learning context; do not turn encouragement into a trading chapter.</x:v>
      </x:c>
      <x:c r="M250" s="17" t="str">
        <x:v>WHOLE TRANSCRIPT READ — visuals pending</x:v>
      </x:c>
      <x:c r="N250" s="15" t="n">
        <x:v>20</x:v>
      </x:c>
      <x:c r="O250" s="15" t="n">
        <x:v>142</x:v>
      </x:c>
      <x:c r="P250" s="15" t="n">
        <x:v>50</x:v>
      </x:c>
      <x:c r="Q250" s="13" t="str">
        <x:v>NO_LARGE_TAIL_GAP</x:v>
      </x:c>
      <x:c r="R250" s="13" t="str"/>
      <x:c r="S250" s="16" t="n">
        <x:v>1</x:v>
      </x:c>
      <x:c r="T250" s="13" t="str">
        <x:v>e85b1020fe334540e553375dc37eed346ad79e1faa96a9d741405d2000c9aaa4</x:v>
      </x:c>
    </x:row>
    <x:row r="251" ht="15" hidden="0" customHeight="1">
      <x:c r="A251" s="13" t="str">
        <x:v>KO2LIn4SCCY</x:v>
      </x:c>
      <x:c r="B251" s="13" t="str">
        <x:v>Trading Discipline: How to Succeed with Losing Trades</x:v>
      </x:c>
      <x:c r="C251" s="14" t="d">
        <x:v>2015-07-29T00:00:00.000Z</x:v>
      </x:c>
      <x:c r="D251" s="18" t="e">
        <x:f>HYPERLINK("https://www.youtube.com/watch?v=KO2LIn4SCCY","Watch video")</x:f>
        <x:v>HYPERLINK is not implemented. linkLocation=https://www.youtube.com/watch?v=KO2LIn4SCCY, friendlyName=Watch video</x:v>
      </x:c>
      <x:c r="E251" s="18" t="e">
        <x:f>HYPERLINK("transcripts/KO2LIn4SCCY.html","Complete transcript")</x:f>
        <x:v>HYPERLINK is not implemented. linkLocation=transcripts/KO2LIn4SCCY.html, friendlyName=Complete transcript</x:v>
      </x:c>
      <x:c r="F251" s="13" t="str">
        <x:v>UNKNOWN_REQUIRES_REVIEW</x:v>
      </x:c>
      <x:c r="G251" s="17" t="str">
        <x:v>UNREVIEWED</x:v>
      </x:c>
      <x:c r="H251" s="17" t="str"/>
      <x:c r="I251" s="17" t="str"/>
      <x:c r="J251" s="17" t="str"/>
      <x:c r="K251" s="17" t="str"/>
      <x:c r="L251" s="17" t="str"/>
      <x:c r="M251" s="17" t="str">
        <x:v>PENDING WHOLE-VIDEO REVIEW</x:v>
      </x:c>
      <x:c r="N251" s="15" t="n">
        <x:v>363</x:v>
      </x:c>
      <x:c r="O251" s="15" t="n">
        <x:v>2793</x:v>
      </x:c>
      <x:c r="P251" s="15" t="n">
        <x:v>835</x:v>
      </x:c>
      <x:c r="Q251" s="13" t="str">
        <x:v>NO_LARGE_TAIL_GAP</x:v>
      </x:c>
      <x:c r="R251" s="13" t="str"/>
      <x:c r="S251" s="16" t="n">
        <x:v>0</x:v>
      </x:c>
      <x:c r="T251" s="13" t="str">
        <x:v>7627f99976e86e7d4b01ad7a493fd2503bcfaa127dc676aa5743127356f1e993</x:v>
      </x:c>
    </x:row>
    <x:row r="252" ht="15" hidden="0" customHeight="1">
      <x:c r="A252" s="13" t="str">
        <x:v>KTE1Fe_DXyo</x:v>
      </x:c>
      <x:c r="B252" s="13" t="str">
        <x:v>ROKU TV Stock Chart 4-27-20 | Stocks for Breakfast</x:v>
      </x:c>
      <x:c r="C252" s="14" t="d">
        <x:v>2020-04-27T00:00:00.000Z</x:v>
      </x:c>
      <x:c r="D252" s="18" t="e">
        <x:f>HYPERLINK("https://www.youtube.com/watch?v=KTE1Fe_DXyo","Watch video")</x:f>
        <x:v>HYPERLINK is not implemented. linkLocation=https://www.youtube.com/watch?v=KTE1Fe_DXyo, friendlyName=Watch video</x:v>
      </x:c>
      <x:c r="E252" s="18" t="e">
        <x:f>HYPERLINK("transcripts/KTE1Fe_DXyo.html","Complete transcript")</x:f>
        <x:v>HYPERLINK is not implemented. linkLocation=transcripts/KTE1Fe_DXyo.html, friendlyName=Complete transcript</x:v>
      </x:c>
      <x:c r="F252" s="13" t="str">
        <x:v>UNKNOWN_REQUIRES_REVIEW</x:v>
      </x:c>
      <x:c r="G252" s="17" t="str">
        <x:v>UNREVIEWED</x:v>
      </x:c>
      <x:c r="H252" s="17" t="str"/>
      <x:c r="I252" s="17" t="str"/>
      <x:c r="J252" s="17" t="str"/>
      <x:c r="K252" s="17" t="str"/>
      <x:c r="L252" s="17" t="str"/>
      <x:c r="M252" s="17" t="str">
        <x:v>PENDING WHOLE-VIDEO REVIEW</x:v>
      </x:c>
      <x:c r="N252" s="15" t="n">
        <x:v>719</x:v>
      </x:c>
      <x:c r="O252" s="15" t="n">
        <x:v>5212</x:v>
      </x:c>
      <x:c r="P252" s="15" t="n">
        <x:v>1581</x:v>
      </x:c>
      <x:c r="Q252" s="13" t="str">
        <x:v>NO_LARGE_TAIL_GAP</x:v>
      </x:c>
      <x:c r="R252" s="13" t="str"/>
      <x:c r="S252" s="16" t="n">
        <x:v>0</x:v>
      </x:c>
      <x:c r="T252" s="13" t="str">
        <x:v>c247db590f710cd04a3a444fe419f366a195b865ca25d76fb347a51433dbf499</x:v>
      </x:c>
    </x:row>
    <x:row r="253" ht="15" hidden="0" customHeight="1">
      <x:c r="A253" s="13" t="str">
        <x:v>KcwXM9O-ShQ</x:v>
      </x:c>
      <x:c r="B253" s="13" t="str">
        <x:v>How to Handle a Fast Moving Stock Using Options</x:v>
      </x:c>
      <x:c r="C253" s="14" t="d">
        <x:v>2024-07-09T00:00:00.000Z</x:v>
      </x:c>
      <x:c r="D253" s="18" t="e">
        <x:f>HYPERLINK("https://www.youtube.com/watch?v=KcwXM9O-ShQ","Watch video")</x:f>
        <x:v>HYPERLINK is not implemented. linkLocation=https://www.youtube.com/watch?v=KcwXM9O-ShQ, friendlyName=Watch video</x:v>
      </x:c>
      <x:c r="E253" s="18" t="e">
        <x:f>HYPERLINK("transcripts/KcwXM9O-ShQ.html","Complete transcript")</x:f>
        <x:v>HYPERLINK is not implemented. linkLocation=transcripts/KcwXM9O-ShQ.html, friendlyName=Complete transcript</x:v>
      </x:c>
      <x:c r="F253" s="13" t="str">
        <x:v>UNKNOWN_REQUIRES_REVIEW</x:v>
      </x:c>
      <x:c r="G253" s="17" t="str">
        <x:v>UNREVIEWED</x:v>
      </x:c>
      <x:c r="H253" s="17" t="str"/>
      <x:c r="I253" s="17" t="str"/>
      <x:c r="J253" s="17" t="str"/>
      <x:c r="K253" s="17" t="str"/>
      <x:c r="L253" s="17" t="str"/>
      <x:c r="M253" s="17" t="str">
        <x:v>PENDING WHOLE-VIDEO REVIEW</x:v>
      </x:c>
      <x:c r="N253" s="15" t="n">
        <x:v>294</x:v>
      </x:c>
      <x:c r="O253" s="15" t="n">
        <x:v>2241</x:v>
      </x:c>
      <x:c r="P253" s="15" t="n">
        <x:v>693</x:v>
      </x:c>
      <x:c r="Q253" s="13" t="str">
        <x:v>NO_LARGE_TAIL_GAP</x:v>
      </x:c>
      <x:c r="R253" s="13" t="str"/>
      <x:c r="S253" s="16" t="n">
        <x:v>0</x:v>
      </x:c>
      <x:c r="T253" s="13" t="str">
        <x:v>e3bbe23dcfe76d51585697eb400e6ed8b9977d8ed841207fce2ce1c6fdaf26e5</x:v>
      </x:c>
    </x:row>
    <x:row r="254" ht="15" hidden="0" customHeight="1">
      <x:c r="A254" s="13" t="str">
        <x:v>KczTKPA4rso</x:v>
      </x:c>
      <x:c r="B254" s="13" t="str">
        <x:v>MRNA Stock | Phase 1 Coronavirus Response | Best Stock Picks Today 7-15-20</x:v>
      </x:c>
      <x:c r="C254" s="14" t="d">
        <x:v>2020-07-15T00:00:00.000Z</x:v>
      </x:c>
      <x:c r="D254" s="18" t="e">
        <x:f>HYPERLINK("https://www.youtube.com/watch?v=KczTKPA4rso","Watch video")</x:f>
        <x:v>HYPERLINK is not implemented. linkLocation=https://www.youtube.com/watch?v=KczTKPA4rso, friendlyName=Watch video</x:v>
      </x:c>
      <x:c r="E254" s="18" t="e">
        <x:f>HYPERLINK("transcripts/KczTKPA4rso.html","Complete transcript")</x:f>
        <x:v>HYPERLINK is not implemented. linkLocation=transcripts/KczTKPA4rso.html, friendlyName=Complete transcript</x:v>
      </x:c>
      <x:c r="F254" s="13" t="str">
        <x:v>PETE_EXPLICIT</x:v>
      </x:c>
      <x:c r="G254" s="17" t="str">
        <x:v>UNREVIEWED</x:v>
      </x:c>
      <x:c r="H254" s="17" t="str"/>
      <x:c r="I254" s="17" t="str"/>
      <x:c r="J254" s="17" t="str"/>
      <x:c r="K254" s="17" t="str"/>
      <x:c r="L254" s="17" t="str"/>
      <x:c r="M254" s="17" t="str">
        <x:v>PENDING WHOLE-VIDEO REVIEW</x:v>
      </x:c>
      <x:c r="N254" s="15" t="n">
        <x:v>569</x:v>
      </x:c>
      <x:c r="O254" s="15" t="n">
        <x:v>3595</x:v>
      </x:c>
      <x:c r="P254" s="15" t="n">
        <x:v>942</x:v>
      </x:c>
      <x:c r="Q254" s="13" t="str">
        <x:v>NO_LARGE_TAIL_GAP</x:v>
      </x:c>
      <x:c r="R254" s="13" t="str"/>
      <x:c r="S254" s="16" t="n">
        <x:v>0</x:v>
      </x:c>
      <x:c r="T254" s="13" t="str">
        <x:v>e157d942df2965dee7ccd00de6ee617a7c4b680fd68204877fc77f4a06e5985b</x:v>
      </x:c>
    </x:row>
    <x:row r="255" ht="15" hidden="0" customHeight="1">
      <x:c r="A255" s="13" t="str">
        <x:v>KrADS5S5aMs</x:v>
      </x:c>
      <x:c r="B255" s="13" t="str">
        <x:v>Stocks for Breakfast | Limit Orders</x:v>
      </x:c>
      <x:c r="C255" s="14" t="d">
        <x:v>2020-12-29T00:00:00.000Z</x:v>
      </x:c>
      <x:c r="D255" s="18" t="e">
        <x:f>HYPERLINK("https://www.youtube.com/watch?v=KrADS5S5aMs","Watch video")</x:f>
        <x:v>HYPERLINK is not implemented. linkLocation=https://www.youtube.com/watch?v=KrADS5S5aMs, friendlyName=Watch video</x:v>
      </x:c>
      <x:c r="E255" s="18" t="e">
        <x:f>HYPERLINK("transcripts/KrADS5S5aMs.html","Complete transcript")</x:f>
        <x:v>HYPERLINK is not implemented. linkLocation=transcripts/KrADS5S5aMs.html, friendlyName=Complete transcript</x:v>
      </x:c>
      <x:c r="F255" s="13" t="str">
        <x:v>PETE_EXPLICIT</x:v>
      </x:c>
      <x:c r="G255" s="17" t="str">
        <x:v>UNREVIEWED</x:v>
      </x:c>
      <x:c r="H255" s="17" t="str"/>
      <x:c r="I255" s="17" t="str"/>
      <x:c r="J255" s="17" t="str"/>
      <x:c r="K255" s="17" t="str"/>
      <x:c r="L255" s="17" t="str"/>
      <x:c r="M255" s="17" t="str">
        <x:v>PENDING WHOLE-VIDEO REVIEW</x:v>
      </x:c>
      <x:c r="N255" s="15" t="n">
        <x:v>519</x:v>
      </x:c>
      <x:c r="O255" s="15" t="n">
        <x:v>3239</x:v>
      </x:c>
      <x:c r="P255" s="15" t="n">
        <x:v>971</x:v>
      </x:c>
      <x:c r="Q255" s="13" t="str">
        <x:v>NO_LARGE_TAIL_GAP</x:v>
      </x:c>
      <x:c r="R255" s="13" t="str"/>
      <x:c r="S255" s="16" t="n">
        <x:v>0</x:v>
      </x:c>
      <x:c r="T255" s="13" t="str">
        <x:v>c4733c009f87117f147c6b78831887387992f5439abf919e8a212ba4dc871895</x:v>
      </x:c>
    </x:row>
    <x:row r="256" ht="15" hidden="0" customHeight="1">
      <x:c r="A256" s="13" t="str">
        <x:v>KvKS0Leeqgs</x:v>
      </x:c>
      <x:c r="B256" s="13" t="str">
        <x:v>NVAX Stock 8-13-20 | Best Stock Picks Today</x:v>
      </x:c>
      <x:c r="C256" s="14" t="d">
        <x:v>2020-08-13T00:00:00.000Z</x:v>
      </x:c>
      <x:c r="D256" s="18" t="e">
        <x:f>HYPERLINK("https://www.youtube.com/watch?v=KvKS0Leeqgs","Watch video")</x:f>
        <x:v>HYPERLINK is not implemented. linkLocation=https://www.youtube.com/watch?v=KvKS0Leeqgs, friendlyName=Watch video</x:v>
      </x:c>
      <x:c r="E256" s="18" t="e">
        <x:f>HYPERLINK("transcripts/KvKS0Leeqgs.html","Complete transcript")</x:f>
        <x:v>HYPERLINK is not implemented. linkLocation=transcripts/KvKS0Leeqgs.html, friendlyName=Complete transcript</x:v>
      </x:c>
      <x:c r="F256" s="13" t="str">
        <x:v>PETE_EXPLICIT</x:v>
      </x:c>
      <x:c r="G256" s="17" t="str">
        <x:v>UNREVIEWED</x:v>
      </x:c>
      <x:c r="H256" s="17" t="str"/>
      <x:c r="I256" s="17" t="str"/>
      <x:c r="J256" s="17" t="str"/>
      <x:c r="K256" s="17" t="str"/>
      <x:c r="L256" s="17" t="str"/>
      <x:c r="M256" s="17" t="str">
        <x:v>PENDING WHOLE-VIDEO REVIEW</x:v>
      </x:c>
      <x:c r="N256" s="15" t="n">
        <x:v>458</x:v>
      </x:c>
      <x:c r="O256" s="15" t="n">
        <x:v>2874</x:v>
      </x:c>
      <x:c r="P256" s="15" t="n">
        <x:v>792</x:v>
      </x:c>
      <x:c r="Q256" s="13" t="str">
        <x:v>NO_LARGE_TAIL_GAP</x:v>
      </x:c>
      <x:c r="R256" s="13" t="str"/>
      <x:c r="S256" s="16" t="n">
        <x:v>0</x:v>
      </x:c>
      <x:c r="T256" s="13" t="str">
        <x:v>f734d2af53fac06a9c082d42428c6f00ac7083d3373ed42845dbc0a6ff0c7fca</x:v>
      </x:c>
    </x:row>
    <x:row r="257" ht="15" hidden="0" customHeight="1">
      <x:c r="A257" s="13" t="str">
        <x:v>KvlmZ8gGCoo</x:v>
      </x:c>
      <x:c r="B257" s="13" t="str">
        <x:v>Day Trading for Beginners DOCU | Stocks for Breakfast</x:v>
      </x:c>
      <x:c r="C257" s="14" t="d">
        <x:v>2020-08-11T00:00:00.000Z</x:v>
      </x:c>
      <x:c r="D257" s="18" t="e">
        <x:f>HYPERLINK("https://www.youtube.com/watch?v=KvlmZ8gGCoo","Watch video")</x:f>
        <x:v>HYPERLINK is not implemented. linkLocation=https://www.youtube.com/watch?v=KvlmZ8gGCoo, friendlyName=Watch video</x:v>
      </x:c>
      <x:c r="E257" s="18" t="e">
        <x:f>HYPERLINK("transcripts/KvlmZ8gGCoo.html","Complete transcript")</x:f>
        <x:v>HYPERLINK is not implemented. linkLocation=transcripts/KvlmZ8gGCoo.html, friendlyName=Complete transcript</x:v>
      </x:c>
      <x:c r="F257" s="13" t="str">
        <x:v>PETE_EXPLICIT</x:v>
      </x:c>
      <x:c r="G257" s="17" t="str">
        <x:v>UNREVIEWED</x:v>
      </x:c>
      <x:c r="H257" s="17" t="str"/>
      <x:c r="I257" s="17" t="str"/>
      <x:c r="J257" s="17" t="str"/>
      <x:c r="K257" s="17" t="str"/>
      <x:c r="L257" s="17" t="str"/>
      <x:c r="M257" s="17" t="str">
        <x:v>PENDING WHOLE-VIDEO REVIEW</x:v>
      </x:c>
      <x:c r="N257" s="15" t="n">
        <x:v>715</x:v>
      </x:c>
      <x:c r="O257" s="15" t="n">
        <x:v>4490</x:v>
      </x:c>
      <x:c r="P257" s="15" t="n">
        <x:v>1276</x:v>
      </x:c>
      <x:c r="Q257" s="13" t="str">
        <x:v>NO_LARGE_TAIL_GAP</x:v>
      </x:c>
      <x:c r="R257" s="13" t="str"/>
      <x:c r="S257" s="16" t="n">
        <x:v>0</x:v>
      </x:c>
      <x:c r="T257" s="13" t="str">
        <x:v>40ef6957a95c7c503f7189906e6c858f367aed9b0960e5838dffa36eb2893342</x:v>
      </x:c>
    </x:row>
    <x:row r="258" ht="15" hidden="0" customHeight="1">
      <x:c r="A258" s="13" t="str">
        <x:v>L8igjX1VqFw</x:v>
      </x:c>
      <x:c r="B258" s="13" t="str">
        <x:v>Best Stock Picks Today | ROKU All Time Highs 9-23-20</x:v>
      </x:c>
      <x:c r="C258" s="14" t="d">
        <x:v>2020-09-23T00:00:00.000Z</x:v>
      </x:c>
      <x:c r="D258" s="18" t="e">
        <x:f>HYPERLINK("https://www.youtube.com/watch?v=L8igjX1VqFw","Watch video")</x:f>
        <x:v>HYPERLINK is not implemented. linkLocation=https://www.youtube.com/watch?v=L8igjX1VqFw, friendlyName=Watch video</x:v>
      </x:c>
      <x:c r="E258" s="18" t="e">
        <x:f>HYPERLINK("transcripts/L8igjX1VqFw.html","Complete transcript")</x:f>
        <x:v>HYPERLINK is not implemented. linkLocation=transcripts/L8igjX1VqFw.html, friendlyName=Complete transcript</x:v>
      </x:c>
      <x:c r="F258" s="13" t="str">
        <x:v>PETE_EXPLICIT</x:v>
      </x:c>
      <x:c r="G258" s="17" t="str">
        <x:v>UNREVIEWED</x:v>
      </x:c>
      <x:c r="H258" s="17" t="str"/>
      <x:c r="I258" s="17" t="str"/>
      <x:c r="J258" s="17" t="str"/>
      <x:c r="K258" s="17" t="str"/>
      <x:c r="L258" s="17" t="str"/>
      <x:c r="M258" s="17" t="str">
        <x:v>PENDING WHOLE-VIDEO REVIEW</x:v>
      </x:c>
      <x:c r="N258" s="15" t="n">
        <x:v>446</x:v>
      </x:c>
      <x:c r="O258" s="15" t="n">
        <x:v>2831</x:v>
      </x:c>
      <x:c r="P258" s="15" t="n">
        <x:v>805</x:v>
      </x:c>
      <x:c r="Q258" s="13" t="str">
        <x:v>NO_LARGE_TAIL_GAP</x:v>
      </x:c>
      <x:c r="R258" s="13" t="str"/>
      <x:c r="S258" s="16" t="n">
        <x:v>0</x:v>
      </x:c>
      <x:c r="T258" s="13" t="str">
        <x:v>ea9007599182bbc027794c27026ffed7ac998f142d7f176f19288ec2f358c2e4</x:v>
      </x:c>
    </x:row>
    <x:row r="259" ht="15" hidden="0" customHeight="1">
      <x:c r="A259" s="13" t="str">
        <x:v>LAPtVeILqNA</x:v>
      </x:c>
      <x:c r="B259" s="13" t="str">
        <x:v>JPM Stock Earnings 7-14-20 | Best Stock Picks Today</x:v>
      </x:c>
      <x:c r="C259" s="14" t="d">
        <x:v>2020-07-14T00:00:00.000Z</x:v>
      </x:c>
      <x:c r="D259" s="18" t="e">
        <x:f>HYPERLINK("https://www.youtube.com/watch?v=LAPtVeILqNA","Watch video")</x:f>
        <x:v>HYPERLINK is not implemented. linkLocation=https://www.youtube.com/watch?v=LAPtVeILqNA, friendlyName=Watch video</x:v>
      </x:c>
      <x:c r="E259" s="18" t="e">
        <x:f>HYPERLINK("transcripts/LAPtVeILqNA.html","Complete transcript")</x:f>
        <x:v>HYPERLINK is not implemented. linkLocation=transcripts/LAPtVeILqNA.html, friendlyName=Complete transcript</x:v>
      </x:c>
      <x:c r="F259" s="13" t="str">
        <x:v>UNKNOWN_REQUIRES_REVIEW</x:v>
      </x:c>
      <x:c r="G259" s="17" t="str">
        <x:v>UNREVIEWED</x:v>
      </x:c>
      <x:c r="H259" s="17" t="str"/>
      <x:c r="I259" s="17" t="str"/>
      <x:c r="J259" s="17" t="str"/>
      <x:c r="K259" s="17" t="str"/>
      <x:c r="L259" s="17" t="str"/>
      <x:c r="M259" s="17" t="str">
        <x:v>PENDING WHOLE-VIDEO REVIEW</x:v>
      </x:c>
      <x:c r="N259" s="15" t="n">
        <x:v>503</x:v>
      </x:c>
      <x:c r="O259" s="15" t="n">
        <x:v>3665</x:v>
      </x:c>
      <x:c r="P259" s="15" t="n">
        <x:v>1013</x:v>
      </x:c>
      <x:c r="Q259" s="13" t="str">
        <x:v>NO_LARGE_TAIL_GAP</x:v>
      </x:c>
      <x:c r="R259" s="13" t="str"/>
      <x:c r="S259" s="16" t="n">
        <x:v>0</x:v>
      </x:c>
      <x:c r="T259" s="13" t="str">
        <x:v>aa3e3ae538761105d573526f885cf2358a1c3415a4be0ac76dc591eda2e91747</x:v>
      </x:c>
    </x:row>
    <x:row r="260" ht="15" hidden="0" customHeight="1">
      <x:c r="A260" s="13" t="str">
        <x:v>LDvPnEYmtJA</x:v>
      </x:c>
      <x:c r="B260" s="13" t="str">
        <x:v>Day Trading Versus Swing Trading | Stocks for Breakfast</x:v>
      </x:c>
      <x:c r="C260" s="14" t="d">
        <x:v>2020-12-01T00:00:00.000Z</x:v>
      </x:c>
      <x:c r="D260" s="18" t="e">
        <x:f>HYPERLINK("https://www.youtube.com/watch?v=LDvPnEYmtJA","Watch video")</x:f>
        <x:v>HYPERLINK is not implemented. linkLocation=https://www.youtube.com/watch?v=LDvPnEYmtJA, friendlyName=Watch video</x:v>
      </x:c>
      <x:c r="E260" s="18" t="e">
        <x:f>HYPERLINK("transcripts/LDvPnEYmtJA.html","Complete transcript")</x:f>
        <x:v>HYPERLINK is not implemented. linkLocation=transcripts/LDvPnEYmtJA.html, friendlyName=Complete transcript</x:v>
      </x:c>
      <x:c r="F260" s="13" t="str">
        <x:v>PETE_EXPLICIT</x:v>
      </x:c>
      <x:c r="G260" s="17" t="str">
        <x:v>UNREVIEWED</x:v>
      </x:c>
      <x:c r="H260" s="17" t="str"/>
      <x:c r="I260" s="17" t="str"/>
      <x:c r="J260" s="17" t="str"/>
      <x:c r="K260" s="17" t="str"/>
      <x:c r="L260" s="17" t="str"/>
      <x:c r="M260" s="17" t="str">
        <x:v>PENDING WHOLE-VIDEO REVIEW</x:v>
      </x:c>
      <x:c r="N260" s="15" t="n">
        <x:v>538</x:v>
      </x:c>
      <x:c r="O260" s="15" t="n">
        <x:v>3297</x:v>
      </x:c>
      <x:c r="P260" s="15" t="n">
        <x:v>955</x:v>
      </x:c>
      <x:c r="Q260" s="13" t="str">
        <x:v>NO_LARGE_TAIL_GAP</x:v>
      </x:c>
      <x:c r="R260" s="13" t="str"/>
      <x:c r="S260" s="16" t="n">
        <x:v>0</x:v>
      </x:c>
      <x:c r="T260" s="13" t="str">
        <x:v>8bb6f6ed89e3b909deb7b921ad1b6557983f437231b2fef0b305e9c2a3d73a6c</x:v>
      </x:c>
    </x:row>
    <x:row r="261" ht="15" hidden="0" customHeight="1">
      <x:c r="A261" s="13" t="str">
        <x:v>LNc5bVg92ic</x:v>
      </x:c>
      <x:c r="B261" s="13" t="str">
        <x:v>NIO Stock Earnings 8-11-20 | Best Stock Picks Today</x:v>
      </x:c>
      <x:c r="C261" s="14" t="d">
        <x:v>2020-08-11T00:00:00.000Z</x:v>
      </x:c>
      <x:c r="D261" s="18" t="e">
        <x:f>HYPERLINK("https://www.youtube.com/watch?v=LNc5bVg92ic","Watch video")</x:f>
        <x:v>HYPERLINK is not implemented. linkLocation=https://www.youtube.com/watch?v=LNc5bVg92ic, friendlyName=Watch video</x:v>
      </x:c>
      <x:c r="E261" s="18" t="e">
        <x:f>HYPERLINK("transcripts/LNc5bVg92ic.html","Complete transcript")</x:f>
        <x:v>HYPERLINK is not implemented. linkLocation=transcripts/LNc5bVg92ic.html, friendlyName=Complete transcript</x:v>
      </x:c>
      <x:c r="F261" s="13" t="str">
        <x:v>PETE_EXPLICIT</x:v>
      </x:c>
      <x:c r="G261" s="17" t="str">
        <x:v>UNREVIEWED</x:v>
      </x:c>
      <x:c r="H261" s="17" t="str"/>
      <x:c r="I261" s="17" t="str"/>
      <x:c r="J261" s="17" t="str"/>
      <x:c r="K261" s="17" t="str"/>
      <x:c r="L261" s="17" t="str"/>
      <x:c r="M261" s="17" t="str">
        <x:v>PENDING WHOLE-VIDEO REVIEW</x:v>
      </x:c>
      <x:c r="N261" s="15" t="n">
        <x:v>375</x:v>
      </x:c>
      <x:c r="O261" s="15" t="n">
        <x:v>2345</x:v>
      </x:c>
      <x:c r="P261" s="15" t="n">
        <x:v>666</x:v>
      </x:c>
      <x:c r="Q261" s="13" t="str">
        <x:v>NO_LARGE_TAIL_GAP</x:v>
      </x:c>
      <x:c r="R261" s="13" t="str"/>
      <x:c r="S261" s="16" t="n">
        <x:v>0</x:v>
      </x:c>
      <x:c r="T261" s="13" t="str">
        <x:v>9c4df0ff14c765dec8c91ffe060b5307b63f65c2009f7b49bf439094b2eee6da</x:v>
      </x:c>
    </x:row>
    <x:row r="262" ht="15" hidden="0" customHeight="1">
      <x:c r="A262" s="13" t="str">
        <x:v>LVPFglqUUOk</x:v>
      </x:c>
      <x:c r="B262" s="13" t="str">
        <x:v>Best Stock Picks Today April 9, 2020 | SBUX News</x:v>
      </x:c>
      <x:c r="C262" s="14" t="d">
        <x:v>2020-04-09T00:00:00.000Z</x:v>
      </x:c>
      <x:c r="D262" s="18" t="e">
        <x:f>HYPERLINK("https://www.youtube.com/watch?v=LVPFglqUUOk","Watch video")</x:f>
        <x:v>HYPERLINK is not implemented. linkLocation=https://www.youtube.com/watch?v=LVPFglqUUOk, friendlyName=Watch video</x:v>
      </x:c>
      <x:c r="E262" s="18" t="e">
        <x:f>HYPERLINK("transcripts/LVPFglqUUOk.html","Complete transcript")</x:f>
        <x:v>HYPERLINK is not implemented. linkLocation=transcripts/LVPFglqUUOk.html, friendlyName=Complete transcript</x:v>
      </x:c>
      <x:c r="F262" s="13" t="str">
        <x:v>UNKNOWN_REQUIRES_REVIEW</x:v>
      </x:c>
      <x:c r="G262" s="17" t="str">
        <x:v>UNREVIEWED</x:v>
      </x:c>
      <x:c r="H262" s="17" t="str"/>
      <x:c r="I262" s="17" t="str"/>
      <x:c r="J262" s="17" t="str"/>
      <x:c r="K262" s="17" t="str"/>
      <x:c r="L262" s="17" t="str"/>
      <x:c r="M262" s="17" t="str">
        <x:v>PENDING WHOLE-VIDEO REVIEW</x:v>
      </x:c>
      <x:c r="N262" s="15" t="n">
        <x:v>372</x:v>
      </x:c>
      <x:c r="O262" s="15" t="n">
        <x:v>2718</x:v>
      </x:c>
      <x:c r="P262" s="15" t="n">
        <x:v>776</x:v>
      </x:c>
      <x:c r="Q262" s="13" t="str">
        <x:v>NO_LARGE_TAIL_GAP</x:v>
      </x:c>
      <x:c r="R262" s="13" t="str"/>
      <x:c r="S262" s="16" t="n">
        <x:v>0</x:v>
      </x:c>
      <x:c r="T262" s="13" t="str">
        <x:v>32678b21bfd99a8121a7118b0dcf7f450d63bacb6abb718ce25fb33df17a2574</x:v>
      </x:c>
    </x:row>
    <x:row r="263" ht="15" hidden="0" customHeight="1">
      <x:c r="A263" s="13" t="str">
        <x:v>LaxrP9B5gKw</x:v>
      </x:c>
      <x:c r="B263" s="13" t="str">
        <x:v>Momentum Trading, Does it Still Work?</x:v>
      </x:c>
      <x:c r="C263" s="14" t="d">
        <x:v>2020-07-01T00:00:00.000Z</x:v>
      </x:c>
      <x:c r="D263" s="18" t="e">
        <x:f>HYPERLINK("https://www.youtube.com/watch?v=LaxrP9B5gKw","Watch video")</x:f>
        <x:v>HYPERLINK is not implemented. linkLocation=https://www.youtube.com/watch?v=LaxrP9B5gKw, friendlyName=Watch video</x:v>
      </x:c>
      <x:c r="E263" s="18" t="e">
        <x:f>HYPERLINK("transcripts/LaxrP9B5gKw.html","Complete transcript")</x:f>
        <x:v>HYPERLINK is not implemented. linkLocation=transcripts/LaxrP9B5gKw.html, friendlyName=Complete transcript</x:v>
      </x:c>
      <x:c r="F263" s="13" t="str">
        <x:v>PETE_EXPLICIT</x:v>
      </x:c>
      <x:c r="G263" s="17" t="str">
        <x:v>UNREVIEWED</x:v>
      </x:c>
      <x:c r="H263" s="17" t="str"/>
      <x:c r="I263" s="17" t="str"/>
      <x:c r="J263" s="17" t="str"/>
      <x:c r="K263" s="17" t="str"/>
      <x:c r="L263" s="17" t="str"/>
      <x:c r="M263" s="17" t="str">
        <x:v>PENDING WHOLE-VIDEO REVIEW</x:v>
      </x:c>
      <x:c r="N263" s="15" t="n">
        <x:v>581</x:v>
      </x:c>
      <x:c r="O263" s="15" t="n">
        <x:v>3596</x:v>
      </x:c>
      <x:c r="P263" s="15" t="n">
        <x:v>1049</x:v>
      </x:c>
      <x:c r="Q263" s="13" t="str">
        <x:v>NO_LARGE_TAIL_GAP</x:v>
      </x:c>
      <x:c r="R263" s="13" t="str"/>
      <x:c r="S263" s="16" t="n">
        <x:v>0</x:v>
      </x:c>
      <x:c r="T263" s="13" t="str">
        <x:v>63f49e7da74b0a9dbe689bbec458883e867d5c2f6e661d3e7acd0ff1e582adf3</x:v>
      </x:c>
    </x:row>
    <x:row r="264" ht="15" hidden="0" customHeight="1">
      <x:c r="A264" s="13" t="str">
        <x:v>LgCzuVfPWPk</x:v>
      </x:c>
      <x:c r="B264" s="13" t="str">
        <x:v>Stock Trading Strategies | Predicting Stock Market Reversals</x:v>
      </x:c>
      <x:c r="C264" s="14" t="d">
        <x:v>2020-09-08T00:00:00.000Z</x:v>
      </x:c>
      <x:c r="D264" s="18" t="e">
        <x:f>HYPERLINK("https://www.youtube.com/watch?v=LgCzuVfPWPk","Watch video")</x:f>
        <x:v>HYPERLINK is not implemented. linkLocation=https://www.youtube.com/watch?v=LgCzuVfPWPk, friendlyName=Watch video</x:v>
      </x:c>
      <x:c r="E264" s="18" t="e">
        <x:f>HYPERLINK("transcripts/LgCzuVfPWPk.html","Complete transcript")</x:f>
        <x:v>HYPERLINK is not implemented. linkLocation=transcripts/LgCzuVfPWPk.html, friendlyName=Complete transcript</x:v>
      </x:c>
      <x:c r="F264" s="13" t="str">
        <x:v>PETE_EXPLICIT</x:v>
      </x:c>
      <x:c r="G264" s="17" t="str">
        <x:v>UNREVIEWED</x:v>
      </x:c>
      <x:c r="H264" s="17" t="str"/>
      <x:c r="I264" s="17" t="str"/>
      <x:c r="J264" s="17" t="str"/>
      <x:c r="K264" s="17" t="str"/>
      <x:c r="L264" s="17" t="str"/>
      <x:c r="M264" s="17" t="str">
        <x:v>PENDING WHOLE-VIDEO REVIEW</x:v>
      </x:c>
      <x:c r="N264" s="15" t="n">
        <x:v>476</x:v>
      </x:c>
      <x:c r="O264" s="15" t="n">
        <x:v>2923</x:v>
      </x:c>
      <x:c r="P264" s="15" t="n">
        <x:v>864</x:v>
      </x:c>
      <x:c r="Q264" s="13" t="str">
        <x:v>NO_LARGE_TAIL_GAP</x:v>
      </x:c>
      <x:c r="R264" s="13" t="str"/>
      <x:c r="S264" s="16" t="n">
        <x:v>0</x:v>
      </x:c>
      <x:c r="T264" s="13" t="str">
        <x:v>0fece69b6c663bd87d19b613ae5405ac35f1ad11a6125840f4f6c3ebdd9382ec</x:v>
      </x:c>
    </x:row>
    <x:row r="265" ht="15" hidden="0" customHeight="1">
      <x:c r="A265" s="13" t="str">
        <x:v>Lkol2g6PwPE</x:v>
      </x:c>
      <x:c r="B265" s="13" t="str">
        <x:v>LULU Stock Earnings 6-12-20 | Best Stock Picks Today</x:v>
      </x:c>
      <x:c r="C265" s="14" t="d">
        <x:v>2020-06-12T00:00:00.000Z</x:v>
      </x:c>
      <x:c r="D265" s="18" t="e">
        <x:f>HYPERLINK("https://www.youtube.com/watch?v=Lkol2g6PwPE","Watch video")</x:f>
        <x:v>HYPERLINK is not implemented. linkLocation=https://www.youtube.com/watch?v=Lkol2g6PwPE, friendlyName=Watch video</x:v>
      </x:c>
      <x:c r="E265" s="18" t="e">
        <x:f>HYPERLINK("transcripts/Lkol2g6PwPE.html","Complete transcript")</x:f>
        <x:v>HYPERLINK is not implemented. linkLocation=transcripts/Lkol2g6PwPE.html, friendlyName=Complete transcript</x:v>
      </x:c>
      <x:c r="F265" s="13" t="str">
        <x:v>PETE_EXPLICIT</x:v>
      </x:c>
      <x:c r="G265" s="17" t="str">
        <x:v>UNREVIEWED</x:v>
      </x:c>
      <x:c r="H265" s="17" t="str"/>
      <x:c r="I265" s="17" t="str"/>
      <x:c r="J265" s="17" t="str"/>
      <x:c r="K265" s="17" t="str"/>
      <x:c r="L265" s="17" t="str"/>
      <x:c r="M265" s="17" t="str">
        <x:v>PENDING WHOLE-VIDEO REVIEW</x:v>
      </x:c>
      <x:c r="N265" s="15" t="n">
        <x:v>325</x:v>
      </x:c>
      <x:c r="O265" s="15" t="n">
        <x:v>2364</x:v>
      </x:c>
      <x:c r="P265" s="15" t="n">
        <x:v>663</x:v>
      </x:c>
      <x:c r="Q265" s="13" t="str">
        <x:v>NO_LARGE_TAIL_GAP</x:v>
      </x:c>
      <x:c r="R265" s="13" t="str"/>
      <x:c r="S265" s="16" t="n">
        <x:v>0</x:v>
      </x:c>
      <x:c r="T265" s="13" t="str">
        <x:v>c8dee07e5072b37681ea5d590d694654474e725d0fbe467628d232d1fa943481</x:v>
      </x:c>
    </x:row>
    <x:row r="266" ht="15" hidden="0" customHeight="1">
      <x:c r="A266" s="13" t="str">
        <x:v>LmrbQS4blSk</x:v>
      </x:c>
      <x:c r="B266" s="13" t="str">
        <x:v>Stock Trading Strategy That Works | 4-29-20 Stocks for Breakfast</x:v>
      </x:c>
      <x:c r="C266" s="14" t="d">
        <x:v>2020-04-29T00:00:00.000Z</x:v>
      </x:c>
      <x:c r="D266" s="18" t="e">
        <x:f>HYPERLINK("https://www.youtube.com/watch?v=LmrbQS4blSk","Watch video")</x:f>
        <x:v>HYPERLINK is not implemented. linkLocation=https://www.youtube.com/watch?v=LmrbQS4blSk, friendlyName=Watch video</x:v>
      </x:c>
      <x:c r="E266" s="18" t="e">
        <x:f>HYPERLINK("transcripts/LmrbQS4blSk.html","Complete transcript")</x:f>
        <x:v>HYPERLINK is not implemented. linkLocation=transcripts/LmrbQS4blSk.html, friendlyName=Complete transcript</x:v>
      </x:c>
      <x:c r="F266" s="13" t="str">
        <x:v>UNKNOWN_REQUIRES_REVIEW</x:v>
      </x:c>
      <x:c r="G266" s="17" t="str">
        <x:v>UNREVIEWED</x:v>
      </x:c>
      <x:c r="H266" s="17" t="str"/>
      <x:c r="I266" s="17" t="str"/>
      <x:c r="J266" s="17" t="str"/>
      <x:c r="K266" s="17" t="str"/>
      <x:c r="L266" s="17" t="str"/>
      <x:c r="M266" s="17" t="str">
        <x:v>PENDING WHOLE-VIDEO REVIEW</x:v>
      </x:c>
      <x:c r="N266" s="15" t="n">
        <x:v>540</x:v>
      </x:c>
      <x:c r="O266" s="15" t="n">
        <x:v>3922</x:v>
      </x:c>
      <x:c r="P266" s="15" t="n">
        <x:v>1255</x:v>
      </x:c>
      <x:c r="Q266" s="13" t="str">
        <x:v>NO_LARGE_TAIL_GAP</x:v>
      </x:c>
      <x:c r="R266" s="13" t="str"/>
      <x:c r="S266" s="16" t="n">
        <x:v>0</x:v>
      </x:c>
      <x:c r="T266" s="13" t="str">
        <x:v>d83a244eac69471dc95865c9faeede3235043f90420559fcd2fdd3ffff81d242</x:v>
      </x:c>
    </x:row>
    <x:row r="267" ht="15" hidden="0" customHeight="1">
      <x:c r="A267" s="13" t="str">
        <x:v>LuJkTj_fSjM</x:v>
      </x:c>
      <x:c r="B267" s="13" t="str">
        <x:v>PYPL PayPal Cryptocurrency | Best Stock Picks Today 10-22-20</x:v>
      </x:c>
      <x:c r="C267" s="14" t="d">
        <x:v>2020-10-22T00:00:00.000Z</x:v>
      </x:c>
      <x:c r="D267" s="18" t="e">
        <x:f>HYPERLINK("https://www.youtube.com/watch?v=LuJkTj_fSjM","Watch video")</x:f>
        <x:v>HYPERLINK is not implemented. linkLocation=https://www.youtube.com/watch?v=LuJkTj_fSjM, friendlyName=Watch video</x:v>
      </x:c>
      <x:c r="E267" s="18" t="e">
        <x:f>HYPERLINK("transcripts/LuJkTj_fSjM.html","Complete transcript")</x:f>
        <x:v>HYPERLINK is not implemented. linkLocation=transcripts/LuJkTj_fSjM.html, friendlyName=Complete transcript</x:v>
      </x:c>
      <x:c r="F267" s="13" t="str">
        <x:v>PETE_EXPLICIT</x:v>
      </x:c>
      <x:c r="G267" s="17" t="str">
        <x:v>UNREVIEWED</x:v>
      </x:c>
      <x:c r="H267" s="17" t="str"/>
      <x:c r="I267" s="17" t="str"/>
      <x:c r="J267" s="17" t="str"/>
      <x:c r="K267" s="17" t="str"/>
      <x:c r="L267" s="17" t="str"/>
      <x:c r="M267" s="17" t="str">
        <x:v>PENDING WHOLE-VIDEO REVIEW</x:v>
      </x:c>
      <x:c r="N267" s="15" t="n">
        <x:v>533</x:v>
      </x:c>
      <x:c r="O267" s="15" t="n">
        <x:v>3348</x:v>
      </x:c>
      <x:c r="P267" s="15" t="n">
        <x:v>894</x:v>
      </x:c>
      <x:c r="Q267" s="13" t="str">
        <x:v>NO_LARGE_TAIL_GAP</x:v>
      </x:c>
      <x:c r="R267" s="13" t="str"/>
      <x:c r="S267" s="16" t="n">
        <x:v>0</x:v>
      </x:c>
      <x:c r="T267" s="13" t="str">
        <x:v>5be8b3427c5ab43be42fbf8105476c7998c842fc5ad859ab6a164591c9480bea</x:v>
      </x:c>
    </x:row>
    <x:row r="268" ht="15" hidden="0" customHeight="1">
      <x:c r="A268" s="13" t="str">
        <x:v>MKKpE2B4uxc</x:v>
      </x:c>
      <x:c r="B268" s="13" t="str">
        <x:v>Is the VIX Predicting A Stock Market Rally?</x:v>
      </x:c>
      <x:c r="C268" s="14" t="d">
        <x:v>2024-05-07T00:00:00.000Z</x:v>
      </x:c>
      <x:c r="D268" s="18" t="e">
        <x:f>HYPERLINK("https://www.youtube.com/watch?v=MKKpE2B4uxc","Watch video")</x:f>
        <x:v>HYPERLINK is not implemented. linkLocation=https://www.youtube.com/watch?v=MKKpE2B4uxc, friendlyName=Watch video</x:v>
      </x:c>
      <x:c r="E268" s="18" t="e">
        <x:f>HYPERLINK("transcripts/MKKpE2B4uxc.html","Complete transcript")</x:f>
        <x:v>HYPERLINK is not implemented. linkLocation=transcripts/MKKpE2B4uxc.html, friendlyName=Complete transcript</x:v>
      </x:c>
      <x:c r="F268" s="13" t="str">
        <x:v>UNKNOWN_REQUIRES_REVIEW</x:v>
      </x:c>
      <x:c r="G268" s="17" t="str">
        <x:v>UNREVIEWED</x:v>
      </x:c>
      <x:c r="H268" s="17" t="str"/>
      <x:c r="I268" s="17" t="str"/>
      <x:c r="J268" s="17" t="str"/>
      <x:c r="K268" s="17" t="str"/>
      <x:c r="L268" s="17" t="str"/>
      <x:c r="M268" s="17" t="str">
        <x:v>PENDING WHOLE-VIDEO REVIEW</x:v>
      </x:c>
      <x:c r="N268" s="15" t="n">
        <x:v>2066</x:v>
      </x:c>
      <x:c r="O268" s="15" t="n">
        <x:v>15438</x:v>
      </x:c>
      <x:c r="P268" s="15" t="n">
        <x:v>4509</x:v>
      </x:c>
      <x:c r="Q268" s="13" t="str">
        <x:v>NO_LARGE_TAIL_GAP</x:v>
      </x:c>
      <x:c r="R268" s="13" t="str"/>
      <x:c r="S268" s="16" t="n">
        <x:v>0</x:v>
      </x:c>
      <x:c r="T268" s="13" t="str">
        <x:v>3ef28a177dbd8d5562df9be2835efde19cff998ffa752ecea0d310efbf2b3c2a</x:v>
      </x:c>
    </x:row>
    <x:row r="269" ht="15" hidden="0" customHeight="1">
      <x:c r="A269" s="13" t="str">
        <x:v>MN1E7QvOofg</x:v>
      </x:c>
      <x:c r="B269" s="13" t="str">
        <x:v>GNUS Stock | 6-4-20 Best Stock Picks Today</x:v>
      </x:c>
      <x:c r="C269" s="14" t="d">
        <x:v>2020-06-04T00:00:00.000Z</x:v>
      </x:c>
      <x:c r="D269" s="18" t="e">
        <x:f>HYPERLINK("https://www.youtube.com/watch?v=MN1E7QvOofg","Watch video")</x:f>
        <x:v>HYPERLINK is not implemented. linkLocation=https://www.youtube.com/watch?v=MN1E7QvOofg, friendlyName=Watch video</x:v>
      </x:c>
      <x:c r="E269" s="18" t="e">
        <x:f>HYPERLINK("transcripts/MN1E7QvOofg.html","Complete transcript")</x:f>
        <x:v>HYPERLINK is not implemented. linkLocation=transcripts/MN1E7QvOofg.html, friendlyName=Complete transcript</x:v>
      </x:c>
      <x:c r="F269" s="13" t="str">
        <x:v>PETE_EXPLICIT</x:v>
      </x:c>
      <x:c r="G269" s="17" t="str">
        <x:v>UNREVIEWED</x:v>
      </x:c>
      <x:c r="H269" s="17" t="str"/>
      <x:c r="I269" s="17" t="str"/>
      <x:c r="J269" s="17" t="str"/>
      <x:c r="K269" s="17" t="str"/>
      <x:c r="L269" s="17" t="str"/>
      <x:c r="M269" s="17" t="str">
        <x:v>PENDING WHOLE-VIDEO REVIEW</x:v>
      </x:c>
      <x:c r="N269" s="15" t="n">
        <x:v>350</x:v>
      </x:c>
      <x:c r="O269" s="15" t="n">
        <x:v>2499</x:v>
      </x:c>
      <x:c r="P269" s="15" t="n">
        <x:v>748</x:v>
      </x:c>
      <x:c r="Q269" s="13" t="str">
        <x:v>NO_LARGE_TAIL_GAP</x:v>
      </x:c>
      <x:c r="R269" s="13" t="str"/>
      <x:c r="S269" s="16" t="n">
        <x:v>0</x:v>
      </x:c>
      <x:c r="T269" s="13" t="str">
        <x:v>3f24fcab2f9d4d63155fcc42aa3828e5c2ddb96e6821e14d98f53a405de6dac7</x:v>
      </x:c>
    </x:row>
    <x:row r="270" ht="15" hidden="0" customHeight="1">
      <x:c r="A270" s="13" t="str">
        <x:v>MOIKnmQmyHE</x:v>
      </x:c>
      <x:c r="B270" s="13" t="str">
        <x:v>Easy Stock Trading Strategy | Stocks for Breakfast</x:v>
      </x:c>
      <x:c r="C270" s="14" t="d">
        <x:v>2020-12-14T00:00:00.000Z</x:v>
      </x:c>
      <x:c r="D270" s="18" t="e">
        <x:f>HYPERLINK("https://www.youtube.com/watch?v=MOIKnmQmyHE","Watch video")</x:f>
        <x:v>HYPERLINK is not implemented. linkLocation=https://www.youtube.com/watch?v=MOIKnmQmyHE, friendlyName=Watch video</x:v>
      </x:c>
      <x:c r="E270" s="18" t="e">
        <x:f>HYPERLINK("transcripts/MOIKnmQmyHE.html","Complete transcript")</x:f>
        <x:v>HYPERLINK is not implemented. linkLocation=transcripts/MOIKnmQmyHE.html, friendlyName=Complete transcript</x:v>
      </x:c>
      <x:c r="F270" s="13" t="str">
        <x:v>PETE_EXPLICIT</x:v>
      </x:c>
      <x:c r="G270" s="17" t="str">
        <x:v>UNREVIEWED</x:v>
      </x:c>
      <x:c r="H270" s="17" t="str"/>
      <x:c r="I270" s="17" t="str"/>
      <x:c r="J270" s="17" t="str"/>
      <x:c r="K270" s="17" t="str"/>
      <x:c r="L270" s="17" t="str"/>
      <x:c r="M270" s="17" t="str">
        <x:v>PENDING WHOLE-VIDEO REVIEW</x:v>
      </x:c>
      <x:c r="N270" s="15" t="n">
        <x:v>537</x:v>
      </x:c>
      <x:c r="O270" s="15" t="n">
        <x:v>3360</x:v>
      </x:c>
      <x:c r="P270" s="15" t="n">
        <x:v>943</x:v>
      </x:c>
      <x:c r="Q270" s="13" t="str">
        <x:v>NO_LARGE_TAIL_GAP</x:v>
      </x:c>
      <x:c r="R270" s="13" t="str"/>
      <x:c r="S270" s="16" t="n">
        <x:v>0</x:v>
      </x:c>
      <x:c r="T270" s="13" t="str">
        <x:v>34d6c00f10be575edf911c0c7b37641acaf13982ee7cb32f237048a453422f25</x:v>
      </x:c>
    </x:row>
    <x:row r="271" ht="15" hidden="0" customHeight="1">
      <x:c r="A271" s="13" t="str">
        <x:v>MZy4GciDS6Y</x:v>
      </x:c>
      <x:c r="B271" s="13" t="str">
        <x:v>Achieve Your Wildest Stock Trading Dreams</x:v>
      </x:c>
      <x:c r="C271" s="14" t="d">
        <x:v>2021-12-23T00:00:00.000Z</x:v>
      </x:c>
      <x:c r="D271" s="18" t="e">
        <x:f>HYPERLINK("https://www.youtube.com/watch?v=MZy4GciDS6Y","Watch video")</x:f>
        <x:v>HYPERLINK is not implemented. linkLocation=https://www.youtube.com/watch?v=MZy4GciDS6Y, friendlyName=Watch video</x:v>
      </x:c>
      <x:c r="E271" s="18" t="e">
        <x:f>HYPERLINK("transcripts/MZy4GciDS6Y.html","Complete transcript")</x:f>
        <x:v>HYPERLINK is not implemented. linkLocation=transcripts/MZy4GciDS6Y.html, friendlyName=Complete transcript</x:v>
      </x:c>
      <x:c r="F271" s="13" t="str">
        <x:v>PETE_EXPLICIT</x:v>
      </x:c>
      <x:c r="G271" s="17" t="str">
        <x:v>UNREVIEWED</x:v>
      </x:c>
      <x:c r="H271" s="17" t="str"/>
      <x:c r="I271" s="17" t="str"/>
      <x:c r="J271" s="17" t="str"/>
      <x:c r="K271" s="17" t="str"/>
      <x:c r="L271" s="17" t="str"/>
      <x:c r="M271" s="17" t="str">
        <x:v>PENDING WHOLE-VIDEO REVIEW</x:v>
      </x:c>
      <x:c r="N271" s="15" t="n">
        <x:v>690</x:v>
      </x:c>
      <x:c r="O271" s="15" t="n">
        <x:v>3982</x:v>
      </x:c>
      <x:c r="P271" s="15" t="n">
        <x:v>1399</x:v>
      </x:c>
      <x:c r="Q271" s="13" t="str">
        <x:v>NO_LARGE_TAIL_GAP</x:v>
      </x:c>
      <x:c r="R271" s="13" t="str"/>
      <x:c r="S271" s="16" t="n">
        <x:v>0</x:v>
      </x:c>
      <x:c r="T271" s="13" t="str">
        <x:v>0f7f92fa8182eb47a42e2b83381f5ce4454b2a011728432dcacde7555ac75ac5</x:v>
      </x:c>
    </x:row>
    <x:row r="272" ht="15" hidden="0" customHeight="1">
      <x:c r="A272" s="13" t="str">
        <x:v>MdupW9g5shA</x:v>
      </x:c>
      <x:c r="B272" s="13" t="str">
        <x:v>Risk Management to Save Your Swing Trading Portfolio</x:v>
      </x:c>
      <x:c r="C272" s="14" t="d">
        <x:v>2026-06-18T00:00:00.000Z</x:v>
      </x:c>
      <x:c r="D272" s="18" t="e">
        <x:f>HYPERLINK("https://www.youtube.com/watch?v=MdupW9g5shA","Watch video")</x:f>
        <x:v>HYPERLINK is not implemented. linkLocation=https://www.youtube.com/watch?v=MdupW9g5shA, friendlyName=Watch video</x:v>
      </x:c>
      <x:c r="E272" s="18" t="e">
        <x:f>HYPERLINK("transcripts/MdupW9g5shA.html","Complete transcript")</x:f>
        <x:v>HYPERLINK is not implemented. linkLocation=transcripts/MdupW9g5shA.html, friendlyName=Complete transcript</x:v>
      </x:c>
      <x:c r="F272" s="13" t="str">
        <x:v>UNKNOWN_REQUIRES_REVIEW</x:v>
      </x:c>
      <x:c r="G272" s="17" t="str">
        <x:v>UNREVIEWED</x:v>
      </x:c>
      <x:c r="H272" s="17" t="str"/>
      <x:c r="I272" s="17" t="str"/>
      <x:c r="J272" s="17" t="str"/>
      <x:c r="K272" s="17" t="str"/>
      <x:c r="L272" s="17" t="str"/>
      <x:c r="M272" s="17" t="str">
        <x:v>PENDING WHOLE-VIDEO REVIEW</x:v>
      </x:c>
      <x:c r="N272" s="15" t="n">
        <x:v>281</x:v>
      </x:c>
      <x:c r="O272" s="15" t="n">
        <x:v>1682</x:v>
      </x:c>
      <x:c r="P272" s="15" t="n">
        <x:v>562</x:v>
      </x:c>
      <x:c r="Q272" s="13" t="str">
        <x:v>NO_LARGE_TAIL_GAP</x:v>
      </x:c>
      <x:c r="R272" s="13" t="str"/>
      <x:c r="S272" s="16" t="n">
        <x:v>0</x:v>
      </x:c>
      <x:c r="T272" s="13" t="str">
        <x:v>cc71b438beb40e0c323b7818f6d4ffa9baf2e76f66a70709908e19d3c71ad362</x:v>
      </x:c>
    </x:row>
    <x:row r="273" ht="15" hidden="0" customHeight="1">
      <x:c r="A273" s="13" t="str">
        <x:v>MpKoqowV2gM</x:v>
      </x:c>
      <x:c r="B273" s="13" t="str">
        <x:v>AMZN Stock Trades Double Volume 4-17-20 | Best Stock Picks Today</x:v>
      </x:c>
      <x:c r="C273" s="14" t="d">
        <x:v>2020-04-16T00:00:00.000Z</x:v>
      </x:c>
      <x:c r="D273" s="18" t="e">
        <x:f>HYPERLINK("https://www.youtube.com/watch?v=MpKoqowV2gM","Watch video")</x:f>
        <x:v>HYPERLINK is not implemented. linkLocation=https://www.youtube.com/watch?v=MpKoqowV2gM, friendlyName=Watch video</x:v>
      </x:c>
      <x:c r="E273" s="18" t="e">
        <x:f>HYPERLINK("transcripts/MpKoqowV2gM.html","Complete transcript")</x:f>
        <x:v>HYPERLINK is not implemented. linkLocation=transcripts/MpKoqowV2gM.html, friendlyName=Complete transcript</x:v>
      </x:c>
      <x:c r="F273" s="13" t="str">
        <x:v>UNKNOWN_REQUIRES_REVIEW</x:v>
      </x:c>
      <x:c r="G273" s="17" t="str">
        <x:v>UNREVIEWED</x:v>
      </x:c>
      <x:c r="H273" s="17" t="str"/>
      <x:c r="I273" s="17" t="str"/>
      <x:c r="J273" s="17" t="str"/>
      <x:c r="K273" s="17" t="str"/>
      <x:c r="L273" s="17" t="str"/>
      <x:c r="M273" s="17" t="str">
        <x:v>PENDING WHOLE-VIDEO REVIEW</x:v>
      </x:c>
      <x:c r="N273" s="15" t="n">
        <x:v>724</x:v>
      </x:c>
      <x:c r="O273" s="15" t="n">
        <x:v>5289</x:v>
      </x:c>
      <x:c r="P273" s="15" t="n">
        <x:v>1556</x:v>
      </x:c>
      <x:c r="Q273" s="13" t="str">
        <x:v>NO_LARGE_TAIL_GAP</x:v>
      </x:c>
      <x:c r="R273" s="13" t="str"/>
      <x:c r="S273" s="16" t="n">
        <x:v>0</x:v>
      </x:c>
      <x:c r="T273" s="13" t="str">
        <x:v>30815c3dd1350412faea894b9d1c38ba15dd8e92258fd42c40f93b5d46530e51</x:v>
      </x:c>
    </x:row>
    <x:row r="274" ht="15" hidden="0" customHeight="1">
      <x:c r="A274" s="13" t="str">
        <x:v>N2Cz2hMTCtU</x:v>
      </x:c>
      <x:c r="B274" s="13" t="str">
        <x:v>Best Stock Picks Today | WMT Trade 11-20-20</x:v>
      </x:c>
      <x:c r="C274" s="14" t="d">
        <x:v>2020-11-20T00:00:00.000Z</x:v>
      </x:c>
      <x:c r="D274" s="18" t="e">
        <x:f>HYPERLINK("https://www.youtube.com/watch?v=N2Cz2hMTCtU","Watch video")</x:f>
        <x:v>HYPERLINK is not implemented. linkLocation=https://www.youtube.com/watch?v=N2Cz2hMTCtU, friendlyName=Watch video</x:v>
      </x:c>
      <x:c r="E274" s="18" t="e">
        <x:f>HYPERLINK("transcripts/N2Cz2hMTCtU.html","Complete transcript")</x:f>
        <x:v>HYPERLINK is not implemented. linkLocation=transcripts/N2Cz2hMTCtU.html, friendlyName=Complete transcript</x:v>
      </x:c>
      <x:c r="F274" s="13" t="str">
        <x:v>PETE_EXPLICIT</x:v>
      </x:c>
      <x:c r="G274" s="17" t="str">
        <x:v>UNREVIEWED</x:v>
      </x:c>
      <x:c r="H274" s="17" t="str"/>
      <x:c r="I274" s="17" t="str"/>
      <x:c r="J274" s="17" t="str"/>
      <x:c r="K274" s="17" t="str"/>
      <x:c r="L274" s="17" t="str"/>
      <x:c r="M274" s="17" t="str">
        <x:v>PENDING WHOLE-VIDEO REVIEW</x:v>
      </x:c>
      <x:c r="N274" s="15" t="n">
        <x:v>403</x:v>
      </x:c>
      <x:c r="O274" s="15" t="n">
        <x:v>2575</x:v>
      </x:c>
      <x:c r="P274" s="15" t="n">
        <x:v>710</x:v>
      </x:c>
      <x:c r="Q274" s="13" t="str">
        <x:v>NO_LARGE_TAIL_GAP</x:v>
      </x:c>
      <x:c r="R274" s="13" t="str"/>
      <x:c r="S274" s="16" t="n">
        <x:v>0</x:v>
      </x:c>
      <x:c r="T274" s="13" t="str">
        <x:v>8bb757dd14f4d4063318eee665e182ea59ffe65d53cdd58e40d33fcdfdda31b5</x:v>
      </x:c>
    </x:row>
    <x:row r="275" ht="15" hidden="0" customHeight="1">
      <x:c r="A275" s="13" t="str">
        <x:v>N7U-_ds_zjY</x:v>
      </x:c>
      <x:c r="B275" s="13" t="str">
        <x:v>How to Find Easier Stock Trades</x:v>
      </x:c>
      <x:c r="C275" s="14" t="d">
        <x:v>2020-07-07T00:00:00.000Z</x:v>
      </x:c>
      <x:c r="D275" s="18" t="e">
        <x:f>HYPERLINK("https://www.youtube.com/watch?v=N7U-_ds_zjY","Watch video")</x:f>
        <x:v>HYPERLINK is not implemented. linkLocation=https://www.youtube.com/watch?v=N7U-_ds_zjY, friendlyName=Watch video</x:v>
      </x:c>
      <x:c r="E275" s="18" t="e">
        <x:f>HYPERLINK("transcripts/N7U-_ds_zjY.html","Complete transcript")</x:f>
        <x:v>HYPERLINK is not implemented. linkLocation=transcripts/N7U-_ds_zjY.html, friendlyName=Complete transcript</x:v>
      </x:c>
      <x:c r="F275" s="13" t="str">
        <x:v>PETE_EXPLICIT</x:v>
      </x:c>
      <x:c r="G275" s="17" t="str">
        <x:v>UNREVIEWED</x:v>
      </x:c>
      <x:c r="H275" s="17" t="str"/>
      <x:c r="I275" s="17" t="str"/>
      <x:c r="J275" s="17" t="str"/>
      <x:c r="K275" s="17" t="str"/>
      <x:c r="L275" s="17" t="str"/>
      <x:c r="M275" s="17" t="str">
        <x:v>PENDING WHOLE-VIDEO REVIEW</x:v>
      </x:c>
      <x:c r="N275" s="15" t="n">
        <x:v>357</x:v>
      </x:c>
      <x:c r="O275" s="15" t="n">
        <x:v>2626</x:v>
      </x:c>
      <x:c r="P275" s="15" t="n">
        <x:v>819</x:v>
      </x:c>
      <x:c r="Q275" s="13" t="str">
        <x:v>NO_LARGE_TAIL_GAP</x:v>
      </x:c>
      <x:c r="R275" s="13" t="str"/>
      <x:c r="S275" s="16" t="n">
        <x:v>0</x:v>
      </x:c>
      <x:c r="T275" s="13" t="str">
        <x:v>f7282da91c726a7eabb24fdefea7f410d209b088e9b3149f5c1262fe17090474</x:v>
      </x:c>
    </x:row>
    <x:row r="276" ht="15" hidden="0" customHeight="1">
      <x:c r="A276" s="13" t="str">
        <x:v>N7zG7MeaOQ4</x:v>
      </x:c>
      <x:c r="B276" s="13" t="str">
        <x:v>FSLY Stock 6-23-20 |  Best Stock Picks Today</x:v>
      </x:c>
      <x:c r="C276" s="14" t="d">
        <x:v>2020-06-23T00:00:00.000Z</x:v>
      </x:c>
      <x:c r="D276" s="18" t="e">
        <x:f>HYPERLINK("https://www.youtube.com/watch?v=N7zG7MeaOQ4","Watch video")</x:f>
        <x:v>HYPERLINK is not implemented. linkLocation=https://www.youtube.com/watch?v=N7zG7MeaOQ4, friendlyName=Watch video</x:v>
      </x:c>
      <x:c r="E276" s="18" t="e">
        <x:f>HYPERLINK("transcripts/N7zG7MeaOQ4.html","Complete transcript")</x:f>
        <x:v>HYPERLINK is not implemented. linkLocation=transcripts/N7zG7MeaOQ4.html, friendlyName=Complete transcript</x:v>
      </x:c>
      <x:c r="F276" s="13" t="str">
        <x:v>UNKNOWN_REQUIRES_REVIEW</x:v>
      </x:c>
      <x:c r="G276" s="17" t="str">
        <x:v>UNREVIEWED</x:v>
      </x:c>
      <x:c r="H276" s="17" t="str"/>
      <x:c r="I276" s="17" t="str"/>
      <x:c r="J276" s="17" t="str"/>
      <x:c r="K276" s="17" t="str"/>
      <x:c r="L276" s="17" t="str"/>
      <x:c r="M276" s="17" t="str">
        <x:v>PENDING WHOLE-VIDEO REVIEW</x:v>
      </x:c>
      <x:c r="N276" s="15" t="n">
        <x:v>466</x:v>
      </x:c>
      <x:c r="O276" s="15" t="n">
        <x:v>2901</x:v>
      </x:c>
      <x:c r="P276" s="15" t="n">
        <x:v>794</x:v>
      </x:c>
      <x:c r="Q276" s="13" t="str">
        <x:v>NO_LARGE_TAIL_GAP</x:v>
      </x:c>
      <x:c r="R276" s="13" t="str"/>
      <x:c r="S276" s="16" t="n">
        <x:v>0</x:v>
      </x:c>
      <x:c r="T276" s="13" t="str">
        <x:v>9c31e7178344b02fb1d4cf74be92664f7d6c80be10566ca4ab8ca17827c3d947</x:v>
      </x:c>
    </x:row>
    <x:row r="277" ht="15" hidden="0" customHeight="1">
      <x:c r="A277" s="13" t="str">
        <x:v>NFIiCrWM6Xc</x:v>
      </x:c>
      <x:c r="B277" s="13" t="str">
        <x:v>RCL - Cruise Lines Trade | Best Stock Picks Today 11-25-20</x:v>
      </x:c>
      <x:c r="C277" s="14" t="d">
        <x:v>2020-11-25T00:00:00.000Z</x:v>
      </x:c>
      <x:c r="D277" s="18" t="e">
        <x:f>HYPERLINK("https://www.youtube.com/watch?v=NFIiCrWM6Xc","Watch video")</x:f>
        <x:v>HYPERLINK is not implemented. linkLocation=https://www.youtube.com/watch?v=NFIiCrWM6Xc, friendlyName=Watch video</x:v>
      </x:c>
      <x:c r="E277" s="18" t="e">
        <x:f>HYPERLINK("transcripts/NFIiCrWM6Xc.html","Complete transcript")</x:f>
        <x:v>HYPERLINK is not implemented. linkLocation=transcripts/NFIiCrWM6Xc.html, friendlyName=Complete transcript</x:v>
      </x:c>
      <x:c r="F277" s="13" t="str">
        <x:v>PETE_EXPLICIT</x:v>
      </x:c>
      <x:c r="G277" s="17" t="str">
        <x:v>UNREVIEWED</x:v>
      </x:c>
      <x:c r="H277" s="17" t="str"/>
      <x:c r="I277" s="17" t="str"/>
      <x:c r="J277" s="17" t="str"/>
      <x:c r="K277" s="17" t="str"/>
      <x:c r="L277" s="17" t="str"/>
      <x:c r="M277" s="17" t="str">
        <x:v>PENDING WHOLE-VIDEO REVIEW</x:v>
      </x:c>
      <x:c r="N277" s="15" t="n">
        <x:v>505</x:v>
      </x:c>
      <x:c r="O277" s="15" t="n">
        <x:v>3113</x:v>
      </x:c>
      <x:c r="P277" s="15" t="n">
        <x:v>897</x:v>
      </x:c>
      <x:c r="Q277" s="13" t="str">
        <x:v>NO_LARGE_TAIL_GAP</x:v>
      </x:c>
      <x:c r="R277" s="13" t="str"/>
      <x:c r="S277" s="16" t="n">
        <x:v>0</x:v>
      </x:c>
      <x:c r="T277" s="13" t="str">
        <x:v>c78b50312c83d7caf2b5de177507532b8a61dcba6879a4e12ffebaf0b347091a</x:v>
      </x:c>
    </x:row>
    <x:row r="278" ht="15" hidden="0" customHeight="1">
      <x:c r="A278" s="13" t="str">
        <x:v>NH6t_BR3aNc</x:v>
      </x:c>
      <x:c r="B278" s="13" t="str">
        <x:v>TradingView Tutorial: From Setup to Stock Picks</x:v>
      </x:c>
      <x:c r="C278" s="14" t="d">
        <x:v>2021-02-09T00:00:00.000Z</x:v>
      </x:c>
      <x:c r="D278" s="18" t="e">
        <x:f>HYPERLINK("https://www.youtube.com/watch?v=NH6t_BR3aNc","Watch video")</x:f>
        <x:v>HYPERLINK is not implemented. linkLocation=https://www.youtube.com/watch?v=NH6t_BR3aNc, friendlyName=Watch video</x:v>
      </x:c>
      <x:c r="E278" s="18" t="e">
        <x:f>HYPERLINK("transcripts/NH6t_BR3aNc.html","Complete transcript")</x:f>
        <x:v>HYPERLINK is not implemented. linkLocation=transcripts/NH6t_BR3aNc.html, friendlyName=Complete transcript</x:v>
      </x:c>
      <x:c r="F278" s="13" t="str">
        <x:v>PETE_EXPLICIT</x:v>
      </x:c>
      <x:c r="G278" s="17" t="str">
        <x:v>UNREVIEWED</x:v>
      </x:c>
      <x:c r="H278" s="17" t="str"/>
      <x:c r="I278" s="17" t="str"/>
      <x:c r="J278" s="17" t="str"/>
      <x:c r="K278" s="17" t="str"/>
      <x:c r="L278" s="17" t="str"/>
      <x:c r="M278" s="17" t="str">
        <x:v>PENDING WHOLE-VIDEO REVIEW</x:v>
      </x:c>
      <x:c r="N278" s="15" t="n">
        <x:v>657</x:v>
      </x:c>
      <x:c r="O278" s="15" t="n">
        <x:v>4028</x:v>
      </x:c>
      <x:c r="P278" s="15" t="n">
        <x:v>1160</x:v>
      </x:c>
      <x:c r="Q278" s="13" t="str">
        <x:v>NO_LARGE_TAIL_GAP</x:v>
      </x:c>
      <x:c r="R278" s="13" t="str"/>
      <x:c r="S278" s="16" t="n">
        <x:v>0</x:v>
      </x:c>
      <x:c r="T278" s="13" t="str">
        <x:v>8a24e609a0f99b4ad6fd5e70487bbbeb9f23b15fa1d8e0a20c7120f8230c4b7b</x:v>
      </x:c>
    </x:row>
    <x:row r="279" ht="15" hidden="0" customHeight="1">
      <x:c r="A279" s="13" t="str">
        <x:v>NL4T3uvwYao</x:v>
      </x:c>
      <x:c r="B279" s="13" t="str">
        <x:v>What Does It Take To Leave Your Job and Trade Full Time?</x:v>
      </x:c>
      <x:c r="C279" s="14" t="d">
        <x:v>2024-07-09T00:00:00.000Z</x:v>
      </x:c>
      <x:c r="D279" s="18" t="e">
        <x:f>HYPERLINK("https://www.youtube.com/watch?v=NL4T3uvwYao","Watch video")</x:f>
        <x:v>HYPERLINK is not implemented. linkLocation=https://www.youtube.com/watch?v=NL4T3uvwYao, friendlyName=Watch video</x:v>
      </x:c>
      <x:c r="E279" s="18" t="e">
        <x:f>HYPERLINK("transcripts/NL4T3uvwYao.html","Complete transcript")</x:f>
        <x:v>HYPERLINK is not implemented. linkLocation=transcripts/NL4T3uvwYao.html, friendlyName=Complete transcript</x:v>
      </x:c>
      <x:c r="F279" s="13" t="str">
        <x:v>UNKNOWN_REQUIRES_REVIEW</x:v>
      </x:c>
      <x:c r="G279" s="17" t="str">
        <x:v>UNREVIEWED</x:v>
      </x:c>
      <x:c r="H279" s="17" t="str"/>
      <x:c r="I279" s="17" t="str"/>
      <x:c r="J279" s="17" t="str"/>
      <x:c r="K279" s="17" t="str"/>
      <x:c r="L279" s="17" t="str"/>
      <x:c r="M279" s="17" t="str">
        <x:v>PENDING WHOLE-VIDEO REVIEW</x:v>
      </x:c>
      <x:c r="N279" s="15" t="n">
        <x:v>246</x:v>
      </x:c>
      <x:c r="O279" s="15" t="n">
        <x:v>1853</x:v>
      </x:c>
      <x:c r="P279" s="15" t="n">
        <x:v>530</x:v>
      </x:c>
      <x:c r="Q279" s="13" t="str">
        <x:v>NO_LARGE_TAIL_GAP</x:v>
      </x:c>
      <x:c r="R279" s="13" t="str"/>
      <x:c r="S279" s="16" t="n">
        <x:v>0</x:v>
      </x:c>
      <x:c r="T279" s="13" t="str">
        <x:v>67b9e9d404e3de6ea46a46ddd5b22bb55be1ee34303067e7ff96782288cdc4b1</x:v>
      </x:c>
    </x:row>
    <x:row r="280" ht="15" hidden="0" customHeight="1">
      <x:c r="A280" s="13" t="str">
        <x:v>NYbdcN0uT7w</x:v>
      </x:c>
      <x:c r="B280" s="13" t="str">
        <x:v>Best Stock Picks Today | BABA Jack Ma Resurfaces 1-20-21</x:v>
      </x:c>
      <x:c r="C280" s="14" t="d">
        <x:v>2021-01-20T00:00:00.000Z</x:v>
      </x:c>
      <x:c r="D280" s="18" t="e">
        <x:f>HYPERLINK("https://www.youtube.com/watch?v=NYbdcN0uT7w","Watch video")</x:f>
        <x:v>HYPERLINK is not implemented. linkLocation=https://www.youtube.com/watch?v=NYbdcN0uT7w, friendlyName=Watch video</x:v>
      </x:c>
      <x:c r="E280" s="18" t="e">
        <x:f>HYPERLINK("transcripts/NYbdcN0uT7w.html","Complete transcript")</x:f>
        <x:v>HYPERLINK is not implemented. linkLocation=transcripts/NYbdcN0uT7w.html, friendlyName=Complete transcript</x:v>
      </x:c>
      <x:c r="F280" s="13" t="str">
        <x:v>PETE_EXPLICIT</x:v>
      </x:c>
      <x:c r="G280" s="17" t="str">
        <x:v>UNREVIEWED</x:v>
      </x:c>
      <x:c r="H280" s="17" t="str"/>
      <x:c r="I280" s="17" t="str"/>
      <x:c r="J280" s="17" t="str"/>
      <x:c r="K280" s="17" t="str"/>
      <x:c r="L280" s="17" t="str"/>
      <x:c r="M280" s="17" t="str">
        <x:v>PENDING WHOLE-VIDEO REVIEW</x:v>
      </x:c>
      <x:c r="N280" s="15" t="n">
        <x:v>469</x:v>
      </x:c>
      <x:c r="O280" s="15" t="n">
        <x:v>2834</x:v>
      </x:c>
      <x:c r="P280" s="15" t="n">
        <x:v>827</x:v>
      </x:c>
      <x:c r="Q280" s="13" t="str">
        <x:v>NO_LARGE_TAIL_GAP</x:v>
      </x:c>
      <x:c r="R280" s="13" t="str"/>
      <x:c r="S280" s="16" t="n">
        <x:v>0</x:v>
      </x:c>
      <x:c r="T280" s="13" t="str">
        <x:v>bb6781bfcbb534db032aab0e33185ce177e56bc50922c0eb9adac131de5ac02d</x:v>
      </x:c>
    </x:row>
    <x:row r="281" ht="15" hidden="0" customHeight="1">
      <x:c r="A281" s="13" t="str">
        <x:v>NgtZ_XTteW0</x:v>
      </x:c>
      <x:c r="B281" s="13" t="str">
        <x:v>Reasons To Choose A Niche Broker Dealer: Mondeum Capital</x:v>
      </x:c>
      <x:c r="C281" s="14" t="d">
        <x:v>2023-05-10T00:00:00.000Z</x:v>
      </x:c>
      <x:c r="D281" s="18" t="e">
        <x:f>HYPERLINK("https://www.youtube.com/watch?v=NgtZ_XTteW0","Watch video")</x:f>
        <x:v>HYPERLINK is not implemented. linkLocation=https://www.youtube.com/watch?v=NgtZ_XTteW0, friendlyName=Watch video</x:v>
      </x:c>
      <x:c r="E281" s="18" t="e">
        <x:f>HYPERLINK("transcripts/NgtZ_XTteW0.html","Complete transcript")</x:f>
        <x:v>HYPERLINK is not implemented. linkLocation=transcripts/NgtZ_XTteW0.html, friendlyName=Complete transcript</x:v>
      </x:c>
      <x:c r="F281" s="13" t="str">
        <x:v>PETE_EXPLICIT</x:v>
      </x:c>
      <x:c r="G281" s="17" t="str">
        <x:v>UNREVIEWED</x:v>
      </x:c>
      <x:c r="H281" s="17" t="str"/>
      <x:c r="I281" s="17" t="str"/>
      <x:c r="J281" s="17" t="str"/>
      <x:c r="K281" s="17" t="str"/>
      <x:c r="L281" s="17" t="str"/>
      <x:c r="M281" s="17" t="str">
        <x:v>PENDING WHOLE-VIDEO REVIEW</x:v>
      </x:c>
      <x:c r="N281" s="15" t="n">
        <x:v>1103</x:v>
      </x:c>
      <x:c r="O281" s="15" t="n">
        <x:v>7840</x:v>
      </x:c>
      <x:c r="P281" s="15" t="n">
        <x:v>2166</x:v>
      </x:c>
      <x:c r="Q281" s="13" t="str">
        <x:v>NO_LARGE_TAIL_GAP</x:v>
      </x:c>
      <x:c r="R281" s="13" t="str"/>
      <x:c r="S281" s="16" t="n">
        <x:v>0</x:v>
      </x:c>
      <x:c r="T281" s="13" t="str">
        <x:v>d46b05c71ffbe9e5a2d4b85f3f822f35d358424dfe6d23492c58a62e579c9696</x:v>
      </x:c>
    </x:row>
    <x:row r="282" ht="15" hidden="0" customHeight="1">
      <x:c r="A282" s="13" t="str">
        <x:v>Nr3il8su0MI</x:v>
      </x:c>
      <x:c r="B282" s="13" t="str">
        <x:v>Stocks to Buy 3 20 20 | Stocks for Breakfast</x:v>
      </x:c>
      <x:c r="C282" s="14" t="d">
        <x:v>2020-03-20T00:00:00.000Z</x:v>
      </x:c>
      <x:c r="D282" s="18" t="e">
        <x:f>HYPERLINK("https://www.youtube.com/watch?v=Nr3il8su0MI","Watch video")</x:f>
        <x:v>HYPERLINK is not implemented. linkLocation=https://www.youtube.com/watch?v=Nr3il8su0MI, friendlyName=Watch video</x:v>
      </x:c>
      <x:c r="E282" s="18" t="e">
        <x:f>HYPERLINK("transcripts/Nr3il8su0MI.html","Complete transcript")</x:f>
        <x:v>HYPERLINK is not implemented. linkLocation=transcripts/Nr3il8su0MI.html, friendlyName=Complete transcript</x:v>
      </x:c>
      <x:c r="F282" s="13" t="str">
        <x:v>UNKNOWN_REQUIRES_REVIEW</x:v>
      </x:c>
      <x:c r="G282" s="17" t="str">
        <x:v>UNREVIEWED</x:v>
      </x:c>
      <x:c r="H282" s="17" t="str"/>
      <x:c r="I282" s="17" t="str"/>
      <x:c r="J282" s="17" t="str"/>
      <x:c r="K282" s="17" t="str"/>
      <x:c r="L282" s="17" t="str"/>
      <x:c r="M282" s="17" t="str">
        <x:v>PENDING WHOLE-VIDEO REVIEW</x:v>
      </x:c>
      <x:c r="N282" s="15" t="n">
        <x:v>573</x:v>
      </x:c>
      <x:c r="O282" s="15" t="n">
        <x:v>4213</x:v>
      </x:c>
      <x:c r="P282" s="15" t="n">
        <x:v>1281</x:v>
      </x:c>
      <x:c r="Q282" s="13" t="str">
        <x:v>NO_LARGE_TAIL_GAP</x:v>
      </x:c>
      <x:c r="R282" s="13" t="str"/>
      <x:c r="S282" s="16" t="n">
        <x:v>0</x:v>
      </x:c>
      <x:c r="T282" s="13" t="str">
        <x:v>d297b6912a55da1b1cbe853211f4e7f82b1bb4f88d1a79e51341eabc1f0b3d48</x:v>
      </x:c>
    </x:row>
    <x:row r="283" ht="15" hidden="0" customHeight="1">
      <x:c r="A283" s="13" t="str">
        <x:v>Nr4O25Y2dIg</x:v>
      </x:c>
      <x:c r="B283" s="13" t="str">
        <x:v>Stock Trading Mentoring | Trading Seminar</x:v>
      </x:c>
      <x:c r="C283" s="14" t="d">
        <x:v>2015-04-22T00:00:00.000Z</x:v>
      </x:c>
      <x:c r="D283" s="18" t="e">
        <x:f>HYPERLINK("https://www.youtube.com/watch?v=Nr4O25Y2dIg","Watch video")</x:f>
        <x:v>HYPERLINK is not implemented. linkLocation=https://www.youtube.com/watch?v=Nr4O25Y2dIg, friendlyName=Watch video</x:v>
      </x:c>
      <x:c r="E283" s="18" t="e">
        <x:f>HYPERLINK("transcripts/Nr4O25Y2dIg.html","Complete transcript")</x:f>
        <x:v>HYPERLINK is not implemented. linkLocation=transcripts/Nr4O25Y2dIg.html, friendlyName=Complete transcript</x:v>
      </x:c>
      <x:c r="F283" s="13" t="str">
        <x:v>UNKNOWN_REQUIRES_REVIEW</x:v>
      </x:c>
      <x:c r="G283" s="17" t="str">
        <x:v>Promotional / motivational</x:v>
      </x:c>
      <x:c r="H283" s="17" t="str">
        <x:v>Invitation to mentoring</x:v>
      </x:c>
      <x:c r="I283" s="17" t="str">
        <x:v>Closing invitation to join a live trading community; alludes to timing nuances without explaining them.</x:v>
      </x:c>
      <x:c r="J283" s="17" t="str">
        <x:v>Mentoring context</x:v>
      </x:c>
      <x:c r="K283" s="17" t="str">
        <x:v>Sales close, not an actionable trading lesson.</x:v>
      </x:c>
      <x:c r="L283" s="17" t="str">
        <x:v>Incidental timing reference does not substantiate an entry-timing chapter.</x:v>
      </x:c>
      <x:c r="M283" s="17" t="str">
        <x:v>WHOLE TRANSCRIPT READ — visuals pending</x:v>
      </x:c>
      <x:c r="N283" s="15" t="n">
        <x:v>13</x:v>
      </x:c>
      <x:c r="O283" s="15" t="n">
        <x:v>96</x:v>
      </x:c>
      <x:c r="P283" s="15" t="n">
        <x:v>29</x:v>
      </x:c>
      <x:c r="Q283" s="13" t="str">
        <x:v>NO_LARGE_TAIL_GAP</x:v>
      </x:c>
      <x:c r="R283" s="13" t="str"/>
      <x:c r="S283" s="16" t="n">
        <x:v>1</x:v>
      </x:c>
      <x:c r="T283" s="13" t="str">
        <x:v>21296f45f58017bfa09feca2cb4bb937897cc19948f5b5073b5770ec32e95059</x:v>
      </x:c>
    </x:row>
    <x:row r="284" ht="15" hidden="0" customHeight="1">
      <x:c r="A284" s="13" t="str">
        <x:v>NvUH5DDZgxg</x:v>
      </x:c>
      <x:c r="B284" s="13" t="str">
        <x:v>Stock Trading Education - Confidence | Stocks for Breakfast</x:v>
      </x:c>
      <x:c r="C284" s="14" t="d">
        <x:v>2020-08-31T00:00:00.000Z</x:v>
      </x:c>
      <x:c r="D284" s="18" t="e">
        <x:f>HYPERLINK("https://www.youtube.com/watch?v=NvUH5DDZgxg","Watch video")</x:f>
        <x:v>HYPERLINK is not implemented. linkLocation=https://www.youtube.com/watch?v=NvUH5DDZgxg, friendlyName=Watch video</x:v>
      </x:c>
      <x:c r="E284" s="18" t="e">
        <x:f>HYPERLINK("transcripts/NvUH5DDZgxg.html","Complete transcript")</x:f>
        <x:v>HYPERLINK is not implemented. linkLocation=transcripts/NvUH5DDZgxg.html, friendlyName=Complete transcript</x:v>
      </x:c>
      <x:c r="F284" s="13" t="str">
        <x:v>PETE_EXPLICIT</x:v>
      </x:c>
      <x:c r="G284" s="17" t="str">
        <x:v>UNREVIEWED</x:v>
      </x:c>
      <x:c r="H284" s="17" t="str"/>
      <x:c r="I284" s="17" t="str"/>
      <x:c r="J284" s="17" t="str"/>
      <x:c r="K284" s="17" t="str"/>
      <x:c r="L284" s="17" t="str"/>
      <x:c r="M284" s="17" t="str">
        <x:v>PENDING WHOLE-VIDEO REVIEW</x:v>
      </x:c>
      <x:c r="N284" s="15" t="n">
        <x:v>571</x:v>
      </x:c>
      <x:c r="O284" s="15" t="n">
        <x:v>3513</x:v>
      </x:c>
      <x:c r="P284" s="15" t="n">
        <x:v>1011</x:v>
      </x:c>
      <x:c r="Q284" s="13" t="str">
        <x:v>NO_LARGE_TAIL_GAP</x:v>
      </x:c>
      <x:c r="R284" s="13" t="str"/>
      <x:c r="S284" s="16" t="n">
        <x:v>0</x:v>
      </x:c>
      <x:c r="T284" s="13" t="str">
        <x:v>f84e38060c3ee84767e1b2fb9287a2cebffe94b2f21675504d2af069ee58ba49</x:v>
      </x:c>
    </x:row>
    <x:row r="285" ht="15" hidden="0" customHeight="1">
      <x:c r="A285" s="13" t="str">
        <x:v>NwLI2cVRg2U</x:v>
      </x:c>
      <x:c r="B285" s="13" t="str">
        <x:v>3 Trading Habits That Will Change Your Portfolio Forever</x:v>
      </x:c>
      <x:c r="C285" s="14" t="d">
        <x:v>2024-07-05T00:00:00.000Z</x:v>
      </x:c>
      <x:c r="D285" s="18" t="e">
        <x:f>HYPERLINK("https://www.youtube.com/watch?v=NwLI2cVRg2U","Watch video")</x:f>
        <x:v>HYPERLINK is not implemented. linkLocation=https://www.youtube.com/watch?v=NwLI2cVRg2U, friendlyName=Watch video</x:v>
      </x:c>
      <x:c r="E285" s="18" t="e">
        <x:f>HYPERLINK("transcripts/NwLI2cVRg2U.html","Complete transcript")</x:f>
        <x:v>HYPERLINK is not implemented. linkLocation=transcripts/NwLI2cVRg2U.html, friendlyName=Complete transcript</x:v>
      </x:c>
      <x:c r="F285" s="13" t="str">
        <x:v>UNKNOWN_REQUIRES_REVIEW</x:v>
      </x:c>
      <x:c r="G285" s="17" t="str">
        <x:v>UNREVIEWED</x:v>
      </x:c>
      <x:c r="H285" s="17" t="str"/>
      <x:c r="I285" s="17" t="str"/>
      <x:c r="J285" s="17" t="str"/>
      <x:c r="K285" s="17" t="str"/>
      <x:c r="L285" s="17" t="str"/>
      <x:c r="M285" s="17" t="str">
        <x:v>PENDING WHOLE-VIDEO REVIEW</x:v>
      </x:c>
      <x:c r="N285" s="15" t="n">
        <x:v>1134</x:v>
      </x:c>
      <x:c r="O285" s="15" t="n">
        <x:v>8054</x:v>
      </x:c>
      <x:c r="P285" s="15" t="n">
        <x:v>2257</x:v>
      </x:c>
      <x:c r="Q285" s="13" t="str">
        <x:v>NO_LARGE_TAIL_GAP</x:v>
      </x:c>
      <x:c r="R285" s="13" t="str"/>
      <x:c r="S285" s="16" t="n">
        <x:v>0</x:v>
      </x:c>
      <x:c r="T285" s="13" t="str">
        <x:v>b979e9489b7b1405cd1cacd5ff226753c9303d5a254e6a146d6332d53675f379</x:v>
      </x:c>
    </x:row>
    <x:row r="286" ht="15" hidden="0" customHeight="1">
      <x:c r="A286" s="13" t="str">
        <x:v>NxnkHxTNvgk</x:v>
      </x:c>
      <x:c r="B286" s="13" t="str">
        <x:v>ROKU Earnings Trade 8-6-20 | Best Stock Picks Today</x:v>
      </x:c>
      <x:c r="C286" s="14" t="d">
        <x:v>2020-08-06T00:00:00.000Z</x:v>
      </x:c>
      <x:c r="D286" s="18" t="e">
        <x:f>HYPERLINK("https://www.youtube.com/watch?v=NxnkHxTNvgk","Watch video")</x:f>
        <x:v>HYPERLINK is not implemented. linkLocation=https://www.youtube.com/watch?v=NxnkHxTNvgk, friendlyName=Watch video</x:v>
      </x:c>
      <x:c r="E286" s="18" t="e">
        <x:f>HYPERLINK("transcripts/NxnkHxTNvgk.html","Complete transcript")</x:f>
        <x:v>HYPERLINK is not implemented. linkLocation=transcripts/NxnkHxTNvgk.html, friendlyName=Complete transcript</x:v>
      </x:c>
      <x:c r="F286" s="13" t="str">
        <x:v>PETE_EXPLICIT</x:v>
      </x:c>
      <x:c r="G286" s="17" t="str">
        <x:v>UNREVIEWED</x:v>
      </x:c>
      <x:c r="H286" s="17" t="str"/>
      <x:c r="I286" s="17" t="str"/>
      <x:c r="J286" s="17" t="str"/>
      <x:c r="K286" s="17" t="str"/>
      <x:c r="L286" s="17" t="str"/>
      <x:c r="M286" s="17" t="str">
        <x:v>PENDING WHOLE-VIDEO REVIEW</x:v>
      </x:c>
      <x:c r="N286" s="15" t="n">
        <x:v>492</x:v>
      </x:c>
      <x:c r="O286" s="15" t="n">
        <x:v>3149</x:v>
      </x:c>
      <x:c r="P286" s="15" t="n">
        <x:v>827</x:v>
      </x:c>
      <x:c r="Q286" s="13" t="str">
        <x:v>NO_LARGE_TAIL_GAP</x:v>
      </x:c>
      <x:c r="R286" s="13" t="str"/>
      <x:c r="S286" s="16" t="n">
        <x:v>0</x:v>
      </x:c>
      <x:c r="T286" s="13" t="str">
        <x:v>8aa2a310f5eeda6a703de5c0d779655f34b093681414c43e6330b05971a878ac</x:v>
      </x:c>
    </x:row>
    <x:row r="287" ht="15" hidden="0" customHeight="1">
      <x:c r="A287" s="13" t="str">
        <x:v>ODdU1vsSd48</x:v>
      </x:c>
      <x:c r="B287" s="13" t="str">
        <x:v>Day Trading Setups and Easy Trades | Stocks for Breakfast</x:v>
      </x:c>
      <x:c r="C287" s="14" t="d">
        <x:v>2020-08-21T00:00:00.000Z</x:v>
      </x:c>
      <x:c r="D287" s="18" t="e">
        <x:f>HYPERLINK("https://www.youtube.com/watch?v=ODdU1vsSd48","Watch video")</x:f>
        <x:v>HYPERLINK is not implemented. linkLocation=https://www.youtube.com/watch?v=ODdU1vsSd48, friendlyName=Watch video</x:v>
      </x:c>
      <x:c r="E287" s="18" t="e">
        <x:f>HYPERLINK("transcripts/ODdU1vsSd48.html","Complete transcript")</x:f>
        <x:v>HYPERLINK is not implemented. linkLocation=transcripts/ODdU1vsSd48.html, friendlyName=Complete transcript</x:v>
      </x:c>
      <x:c r="F287" s="13" t="str">
        <x:v>PETE_EXPLICIT</x:v>
      </x:c>
      <x:c r="G287" s="17" t="str">
        <x:v>UNREVIEWED</x:v>
      </x:c>
      <x:c r="H287" s="17" t="str"/>
      <x:c r="I287" s="17" t="str"/>
      <x:c r="J287" s="17" t="str"/>
      <x:c r="K287" s="17" t="str"/>
      <x:c r="L287" s="17" t="str"/>
      <x:c r="M287" s="17" t="str">
        <x:v>PENDING WHOLE-VIDEO REVIEW</x:v>
      </x:c>
      <x:c r="N287" s="15" t="n">
        <x:v>538</x:v>
      </x:c>
      <x:c r="O287" s="15" t="n">
        <x:v>3682</x:v>
      </x:c>
      <x:c r="P287" s="15" t="n">
        <x:v>1080</x:v>
      </x:c>
      <x:c r="Q287" s="13" t="str">
        <x:v>NO_LARGE_TAIL_GAP</x:v>
      </x:c>
      <x:c r="R287" s="13" t="str"/>
      <x:c r="S287" s="16" t="n">
        <x:v>0</x:v>
      </x:c>
      <x:c r="T287" s="13" t="str">
        <x:v>b0a4617d321597e65a09a750ce0a8d5da8f84370ef05657770e51089d479dde0</x:v>
      </x:c>
    </x:row>
    <x:row r="288" ht="15" hidden="0" customHeight="1">
      <x:c r="A288" s="13" t="str">
        <x:v>OEQL9YgiCRs</x:v>
      </x:c>
      <x:c r="B288" s="13" t="str">
        <x:v>Buy AAPL Stock 7-24-20 | Best Stock Picks Today</x:v>
      </x:c>
      <x:c r="C288" s="14" t="d">
        <x:v>2020-07-24T00:00:00.000Z</x:v>
      </x:c>
      <x:c r="D288" s="18" t="e">
        <x:f>HYPERLINK("https://www.youtube.com/watch?v=OEQL9YgiCRs","Watch video")</x:f>
        <x:v>HYPERLINK is not implemented. linkLocation=https://www.youtube.com/watch?v=OEQL9YgiCRs, friendlyName=Watch video</x:v>
      </x:c>
      <x:c r="E288" s="18" t="e">
        <x:f>HYPERLINK("transcripts/OEQL9YgiCRs.html","Complete transcript")</x:f>
        <x:v>HYPERLINK is not implemented. linkLocation=transcripts/OEQL9YgiCRs.html, friendlyName=Complete transcript</x:v>
      </x:c>
      <x:c r="F288" s="13" t="str">
        <x:v>PETE_EXPLICIT</x:v>
      </x:c>
      <x:c r="G288" s="17" t="str">
        <x:v>UNREVIEWED</x:v>
      </x:c>
      <x:c r="H288" s="17" t="str"/>
      <x:c r="I288" s="17" t="str"/>
      <x:c r="J288" s="17" t="str"/>
      <x:c r="K288" s="17" t="str"/>
      <x:c r="L288" s="17" t="str"/>
      <x:c r="M288" s="17" t="str">
        <x:v>PENDING WHOLE-VIDEO REVIEW</x:v>
      </x:c>
      <x:c r="N288" s="15" t="n">
        <x:v>503</x:v>
      </x:c>
      <x:c r="O288" s="15" t="n">
        <x:v>3168</x:v>
      </x:c>
      <x:c r="P288" s="15" t="n">
        <x:v>869</x:v>
      </x:c>
      <x:c r="Q288" s="13" t="str">
        <x:v>NO_LARGE_TAIL_GAP</x:v>
      </x:c>
      <x:c r="R288" s="13" t="str"/>
      <x:c r="S288" s="16" t="n">
        <x:v>0</x:v>
      </x:c>
      <x:c r="T288" s="13" t="str">
        <x:v>301e6528823061226d312d35534663cd823376d5f56ff66a169a5f1c61a9fd2e</x:v>
      </x:c>
    </x:row>
    <x:row r="289" ht="15" hidden="0" customHeight="1">
      <x:c r="A289" s="13" t="str">
        <x:v>OIs6zFu7Cyk</x:v>
      </x:c>
      <x:c r="B289" s="13" t="str">
        <x:v>Options Trading Pro Tip | Hedging Your Options Portfolio</x:v>
      </x:c>
      <x:c r="C289" s="14" t="d">
        <x:v>2024-07-09T00:00:00.000Z</x:v>
      </x:c>
      <x:c r="D289" s="18" t="e">
        <x:f>HYPERLINK("https://www.youtube.com/watch?v=OIs6zFu7Cyk","Watch video")</x:f>
        <x:v>HYPERLINK is not implemented. linkLocation=https://www.youtube.com/watch?v=OIs6zFu7Cyk, friendlyName=Watch video</x:v>
      </x:c>
      <x:c r="E289" s="18" t="e">
        <x:f>HYPERLINK("transcripts/OIs6zFu7Cyk.html","Complete transcript")</x:f>
        <x:v>HYPERLINK is not implemented. linkLocation=transcripts/OIs6zFu7Cyk.html, friendlyName=Complete transcript</x:v>
      </x:c>
      <x:c r="F289" s="13" t="str">
        <x:v>UNKNOWN_REQUIRES_REVIEW</x:v>
      </x:c>
      <x:c r="G289" s="17" t="str">
        <x:v>UNREVIEWED</x:v>
      </x:c>
      <x:c r="H289" s="17" t="str"/>
      <x:c r="I289" s="17" t="str"/>
      <x:c r="J289" s="17" t="str"/>
      <x:c r="K289" s="17" t="str"/>
      <x:c r="L289" s="17" t="str"/>
      <x:c r="M289" s="17" t="str">
        <x:v>PENDING WHOLE-VIDEO REVIEW</x:v>
      </x:c>
      <x:c r="N289" s="15" t="n">
        <x:v>70</x:v>
      </x:c>
      <x:c r="O289" s="15" t="n">
        <x:v>514</x:v>
      </x:c>
      <x:c r="P289" s="15" t="n">
        <x:v>136</x:v>
      </x:c>
      <x:c r="Q289" s="13" t="str">
        <x:v>NO_LARGE_TAIL_GAP</x:v>
      </x:c>
      <x:c r="R289" s="13" t="str"/>
      <x:c r="S289" s="16" t="n">
        <x:v>0</x:v>
      </x:c>
      <x:c r="T289" s="13" t="str">
        <x:v>acf5608ec8a5396af9158fc83ebdb284a4bcc320622b1bd6a552ea60679c4e9c</x:v>
      </x:c>
    </x:row>
    <x:row r="290" ht="15" hidden="0" customHeight="1">
      <x:c r="A290" s="13" t="str">
        <x:v>OIv_Y8gxvf8</x:v>
      </x:c>
      <x:c r="B290" s="13" t="str">
        <x:v>Volatility and How to Handle it with Options</x:v>
      </x:c>
      <x:c r="C290" s="14" t="d">
        <x:v>2024-07-09T00:00:00.000Z</x:v>
      </x:c>
      <x:c r="D290" s="18" t="e">
        <x:f>HYPERLINK("https://www.youtube.com/watch?v=OIv_Y8gxvf8","Watch video")</x:f>
        <x:v>HYPERLINK is not implemented. linkLocation=https://www.youtube.com/watch?v=OIv_Y8gxvf8, friendlyName=Watch video</x:v>
      </x:c>
      <x:c r="E290" s="18" t="e">
        <x:f>HYPERLINK("transcripts/OIv_Y8gxvf8.html","Complete transcript")</x:f>
        <x:v>HYPERLINK is not implemented. linkLocation=transcripts/OIv_Y8gxvf8.html, friendlyName=Complete transcript</x:v>
      </x:c>
      <x:c r="F290" s="13" t="str">
        <x:v>UNKNOWN_REQUIRES_REVIEW</x:v>
      </x:c>
      <x:c r="G290" s="17" t="str">
        <x:v>UNREVIEWED</x:v>
      </x:c>
      <x:c r="H290" s="17" t="str"/>
      <x:c r="I290" s="17" t="str"/>
      <x:c r="J290" s="17" t="str"/>
      <x:c r="K290" s="17" t="str"/>
      <x:c r="L290" s="17" t="str"/>
      <x:c r="M290" s="17" t="str">
        <x:v>PENDING WHOLE-VIDEO REVIEW</x:v>
      </x:c>
      <x:c r="N290" s="15" t="n">
        <x:v>214</x:v>
      </x:c>
      <x:c r="O290" s="15" t="n">
        <x:v>1466</x:v>
      </x:c>
      <x:c r="P290" s="15" t="n">
        <x:v>460</x:v>
      </x:c>
      <x:c r="Q290" s="13" t="str">
        <x:v>NO_LARGE_TAIL_GAP</x:v>
      </x:c>
      <x:c r="R290" s="13" t="str"/>
      <x:c r="S290" s="16" t="n">
        <x:v>0</x:v>
      </x:c>
      <x:c r="T290" s="13" t="str">
        <x:v>db0deff77b903795c2e2d6e9d2b0c25ecd12397f7940d53469be9601b81338c3</x:v>
      </x:c>
    </x:row>
    <x:row r="291" ht="15" hidden="0" customHeight="1">
      <x:c r="A291" s="13" t="str">
        <x:v>OKE0HUpcgYM</x:v>
      </x:c>
      <x:c r="B291" s="13" t="str">
        <x:v>Stocks for Breakfast | How to Build Your Watch List</x:v>
      </x:c>
      <x:c r="C291" s="14" t="d">
        <x:v>2020-10-12T00:00:00.000Z</x:v>
      </x:c>
      <x:c r="D291" s="18" t="e">
        <x:f>HYPERLINK("https://www.youtube.com/watch?v=OKE0HUpcgYM","Watch video")</x:f>
        <x:v>HYPERLINK is not implemented. linkLocation=https://www.youtube.com/watch?v=OKE0HUpcgYM, friendlyName=Watch video</x:v>
      </x:c>
      <x:c r="E291" s="18" t="e">
        <x:f>HYPERLINK("transcripts/OKE0HUpcgYM.html","Complete transcript")</x:f>
        <x:v>HYPERLINK is not implemented. linkLocation=transcripts/OKE0HUpcgYM.html, friendlyName=Complete transcript</x:v>
      </x:c>
      <x:c r="F291" s="13" t="str">
        <x:v>PETE_EXPLICIT</x:v>
      </x:c>
      <x:c r="G291" s="17" t="str">
        <x:v>UNREVIEWED</x:v>
      </x:c>
      <x:c r="H291" s="17" t="str"/>
      <x:c r="I291" s="17" t="str"/>
      <x:c r="J291" s="17" t="str"/>
      <x:c r="K291" s="17" t="str"/>
      <x:c r="L291" s="17" t="str"/>
      <x:c r="M291" s="17" t="str">
        <x:v>PENDING WHOLE-VIDEO REVIEW</x:v>
      </x:c>
      <x:c r="N291" s="15" t="n">
        <x:v>418</x:v>
      </x:c>
      <x:c r="O291" s="15" t="n">
        <x:v>2574</x:v>
      </x:c>
      <x:c r="P291" s="15" t="n">
        <x:v>766</x:v>
      </x:c>
      <x:c r="Q291" s="13" t="str">
        <x:v>NO_LARGE_TAIL_GAP</x:v>
      </x:c>
      <x:c r="R291" s="13" t="str"/>
      <x:c r="S291" s="16" t="n">
        <x:v>0</x:v>
      </x:c>
      <x:c r="T291" s="13" t="str">
        <x:v>ec6aa828243d6f731254b2a4a773219182331e5b86034a9b704f195f5b788db0</x:v>
      </x:c>
    </x:row>
    <x:row r="292" ht="15" hidden="0" customHeight="1">
      <x:c r="A292" s="13" t="str">
        <x:v>OOIVnU6C8xw</x:v>
      </x:c>
      <x:c r="B292" s="13" t="str">
        <x:v>Best Stock Picks Today | INTC Earnings Trade 1-22-21</x:v>
      </x:c>
      <x:c r="C292" s="14" t="d">
        <x:v>2021-01-22T00:00:00.000Z</x:v>
      </x:c>
      <x:c r="D292" s="18" t="e">
        <x:f>HYPERLINK("https://www.youtube.com/watch?v=OOIVnU6C8xw","Watch video")</x:f>
        <x:v>HYPERLINK is not implemented. linkLocation=https://www.youtube.com/watch?v=OOIVnU6C8xw, friendlyName=Watch video</x:v>
      </x:c>
      <x:c r="E292" s="18" t="e">
        <x:f>HYPERLINK("transcripts/OOIVnU6C8xw.html","Complete transcript")</x:f>
        <x:v>HYPERLINK is not implemented. linkLocation=transcripts/OOIVnU6C8xw.html, friendlyName=Complete transcript</x:v>
      </x:c>
      <x:c r="F292" s="13" t="str">
        <x:v>PETE_EXPLICIT</x:v>
      </x:c>
      <x:c r="G292" s="17" t="str">
        <x:v>UNREVIEWED</x:v>
      </x:c>
      <x:c r="H292" s="17" t="str"/>
      <x:c r="I292" s="17" t="str"/>
      <x:c r="J292" s="17" t="str"/>
      <x:c r="K292" s="17" t="str"/>
      <x:c r="L292" s="17" t="str"/>
      <x:c r="M292" s="17" t="str">
        <x:v>PENDING WHOLE-VIDEO REVIEW</x:v>
      </x:c>
      <x:c r="N292" s="15" t="n">
        <x:v>546</x:v>
      </x:c>
      <x:c r="O292" s="15" t="n">
        <x:v>3368</x:v>
      </x:c>
      <x:c r="P292" s="15" t="n">
        <x:v>965</x:v>
      </x:c>
      <x:c r="Q292" s="13" t="str">
        <x:v>NO_LARGE_TAIL_GAP</x:v>
      </x:c>
      <x:c r="R292" s="13" t="str"/>
      <x:c r="S292" s="16" t="n">
        <x:v>0</x:v>
      </x:c>
      <x:c r="T292" s="13" t="str">
        <x:v>1a762d7a078f8830e40c77034003efd5d696c8e9836623687a6ca6bd60e3e604</x:v>
      </x:c>
    </x:row>
    <x:row r="293" ht="15" hidden="0" customHeight="1">
      <x:c r="A293" s="13" t="str">
        <x:v>OUFk3hzFGR0</x:v>
      </x:c>
      <x:c r="B293" s="13" t="str">
        <x:v>Stock Trading Pro Coaching Call Replay</x:v>
      </x:c>
      <x:c r="C293" s="14" t="d">
        <x:v>2021-07-08T00:00:00.000Z</x:v>
      </x:c>
      <x:c r="D293" s="18" t="e">
        <x:f>HYPERLINK("https://www.youtube.com/watch?v=OUFk3hzFGR0","Watch video")</x:f>
        <x:v>HYPERLINK is not implemented. linkLocation=https://www.youtube.com/watch?v=OUFk3hzFGR0, friendlyName=Watch video</x:v>
      </x:c>
      <x:c r="E293" s="18" t="e">
        <x:f>HYPERLINK("transcripts/OUFk3hzFGR0.html","Complete transcript")</x:f>
        <x:v>HYPERLINK is not implemented. linkLocation=transcripts/OUFk3hzFGR0.html, friendlyName=Complete transcript</x:v>
      </x:c>
      <x:c r="F293" s="13" t="str">
        <x:v>PETE_EXPLICIT</x:v>
      </x:c>
      <x:c r="G293" s="17" t="str">
        <x:v>UNREVIEWED</x:v>
      </x:c>
      <x:c r="H293" s="17" t="str"/>
      <x:c r="I293" s="17" t="str"/>
      <x:c r="J293" s="17" t="str"/>
      <x:c r="K293" s="17" t="str"/>
      <x:c r="L293" s="17" t="str"/>
      <x:c r="M293" s="17" t="str">
        <x:v>PENDING WHOLE-VIDEO REVIEW</x:v>
      </x:c>
      <x:c r="N293" s="15" t="n">
        <x:v>1413</x:v>
      </x:c>
      <x:c r="O293" s="15" t="n">
        <x:v>8539</x:v>
      </x:c>
      <x:c r="P293" s="15" t="n">
        <x:v>2777</x:v>
      </x:c>
      <x:c r="Q293" s="13" t="str">
        <x:v>NO_LARGE_TAIL_GAP</x:v>
      </x:c>
      <x:c r="R293" s="13" t="str"/>
      <x:c r="S293" s="16" t="n">
        <x:v>0</x:v>
      </x:c>
      <x:c r="T293" s="13" t="str">
        <x:v>ef57483f7d087f1dc027b59cef2f758b685ad30a8f6e1d9778312a5356e6fc67</x:v>
      </x:c>
    </x:row>
    <x:row r="294" ht="15" hidden="0" customHeight="1">
      <x:c r="A294" s="13" t="str">
        <x:v>O_kLAjpcjq0</x:v>
      </x:c>
      <x:c r="B294" s="13" t="str">
        <x:v>Want to Trade Stocks Full-Time? Here's the answer you need.</x:v>
      </x:c>
      <x:c r="C294" s="14" t="d">
        <x:v>2022-05-17T00:00:00.000Z</x:v>
      </x:c>
      <x:c r="D294" s="18" t="e">
        <x:f>HYPERLINK("https://www.youtube.com/watch?v=O_kLAjpcjq0","Watch video")</x:f>
        <x:v>HYPERLINK is not implemented. linkLocation=https://www.youtube.com/watch?v=O_kLAjpcjq0, friendlyName=Watch video</x:v>
      </x:c>
      <x:c r="E294" s="18" t="e">
        <x:f>HYPERLINK("transcripts/O_kLAjpcjq0.html","Complete transcript")</x:f>
        <x:v>HYPERLINK is not implemented. linkLocation=transcripts/O_kLAjpcjq0.html, friendlyName=Complete transcript</x:v>
      </x:c>
      <x:c r="F294" s="13" t="str">
        <x:v>PETE_EXPLICIT</x:v>
      </x:c>
      <x:c r="G294" s="17" t="str">
        <x:v>UNREVIEWED</x:v>
      </x:c>
      <x:c r="H294" s="17" t="str"/>
      <x:c r="I294" s="17" t="str"/>
      <x:c r="J294" s="17" t="str"/>
      <x:c r="K294" s="17" t="str"/>
      <x:c r="L294" s="17" t="str"/>
      <x:c r="M294" s="17" t="str">
        <x:v>PENDING WHOLE-VIDEO REVIEW</x:v>
      </x:c>
      <x:c r="N294" s="15" t="n">
        <x:v>372</x:v>
      </x:c>
      <x:c r="O294" s="15" t="n">
        <x:v>2288</x:v>
      </x:c>
      <x:c r="P294" s="15" t="n">
        <x:v>748</x:v>
      </x:c>
      <x:c r="Q294" s="13" t="str">
        <x:v>NO_LARGE_TAIL_GAP</x:v>
      </x:c>
      <x:c r="R294" s="13" t="str"/>
      <x:c r="S294" s="16" t="n">
        <x:v>0</x:v>
      </x:c>
      <x:c r="T294" s="13" t="str">
        <x:v>e9295146d80a0e86c5b984f897db577d28d6bbc9a1dbfac73cad6d0ec1af4996</x:v>
      </x:c>
    </x:row>
    <x:row r="295" ht="15" hidden="0" customHeight="1">
      <x:c r="A295" s="13" t="str">
        <x:v>OybEV6t2LDo</x:v>
      </x:c>
      <x:c r="B295" s="13" t="str">
        <x:v>INO Stock Inovio 6-26-20 | Best Stock Picks Today</x:v>
      </x:c>
      <x:c r="C295" s="14" t="d">
        <x:v>2020-06-26T00:00:00.000Z</x:v>
      </x:c>
      <x:c r="D295" s="18" t="e">
        <x:f>HYPERLINK("https://www.youtube.com/watch?v=OybEV6t2LDo","Watch video")</x:f>
        <x:v>HYPERLINK is not implemented. linkLocation=https://www.youtube.com/watch?v=OybEV6t2LDo, friendlyName=Watch video</x:v>
      </x:c>
      <x:c r="E295" s="18" t="e">
        <x:f>HYPERLINK("transcripts/OybEV6t2LDo.html","Complete transcript")</x:f>
        <x:v>HYPERLINK is not implemented. linkLocation=transcripts/OybEV6t2LDo.html, friendlyName=Complete transcript</x:v>
      </x:c>
      <x:c r="F295" s="13" t="str">
        <x:v>PETE_EXPLICIT</x:v>
      </x:c>
      <x:c r="G295" s="17" t="str">
        <x:v>UNREVIEWED</x:v>
      </x:c>
      <x:c r="H295" s="17" t="str"/>
      <x:c r="I295" s="17" t="str"/>
      <x:c r="J295" s="17" t="str"/>
      <x:c r="K295" s="17" t="str"/>
      <x:c r="L295" s="17" t="str"/>
      <x:c r="M295" s="17" t="str">
        <x:v>PENDING WHOLE-VIDEO REVIEW</x:v>
      </x:c>
      <x:c r="N295" s="15" t="n">
        <x:v>437</x:v>
      </x:c>
      <x:c r="O295" s="15" t="n">
        <x:v>2682</x:v>
      </x:c>
      <x:c r="P295" s="15" t="n">
        <x:v>789</x:v>
      </x:c>
      <x:c r="Q295" s="13" t="str">
        <x:v>NO_LARGE_TAIL_GAP</x:v>
      </x:c>
      <x:c r="R295" s="13" t="str"/>
      <x:c r="S295" s="16" t="n">
        <x:v>0</x:v>
      </x:c>
      <x:c r="T295" s="13" t="str">
        <x:v>dfd2998a66de3d08ddd437cf6dbe1c5123992769c6dadc2c7a6b550e309ceba7</x:v>
      </x:c>
    </x:row>
    <x:row r="296" ht="15" hidden="0" customHeight="1">
      <x:c r="A296" s="13" t="str">
        <x:v>P808TIFXB6M</x:v>
      </x:c>
      <x:c r="B296" s="13" t="str">
        <x:v>Macroeconomic Indicators Explained: How They Influence the Fed and Stock Market</x:v>
      </x:c>
      <x:c r="C296" s="14" t="d">
        <x:v>2026-05-27T00:00:00.000Z</x:v>
      </x:c>
      <x:c r="D296" s="18" t="e">
        <x:f>HYPERLINK("https://www.youtube.com/watch?v=P808TIFXB6M","Watch video")</x:f>
        <x:v>HYPERLINK is not implemented. linkLocation=https://www.youtube.com/watch?v=P808TIFXB6M, friendlyName=Watch video</x:v>
      </x:c>
      <x:c r="E296" s="18" t="e">
        <x:f>HYPERLINK("transcripts/P808TIFXB6M.html","Complete transcript")</x:f>
        <x:v>HYPERLINK is not implemented. linkLocation=transcripts/P808TIFXB6M.html, friendlyName=Complete transcript</x:v>
      </x:c>
      <x:c r="F296" s="13" t="str">
        <x:v>UNKNOWN_REQUIRES_REVIEW</x:v>
      </x:c>
      <x:c r="G296" s="17" t="str">
        <x:v>UNREVIEWED</x:v>
      </x:c>
      <x:c r="H296" s="17" t="str"/>
      <x:c r="I296" s="17" t="str"/>
      <x:c r="J296" s="17" t="str"/>
      <x:c r="K296" s="17" t="str"/>
      <x:c r="L296" s="17" t="str"/>
      <x:c r="M296" s="17" t="str">
        <x:v>PENDING WHOLE-VIDEO REVIEW</x:v>
      </x:c>
      <x:c r="N296" s="15" t="n">
        <x:v>235</x:v>
      </x:c>
      <x:c r="O296" s="15" t="n">
        <x:v>1455</x:v>
      </x:c>
      <x:c r="P296" s="15" t="n">
        <x:v>487</x:v>
      </x:c>
      <x:c r="Q296" s="13" t="str">
        <x:v>NO_LARGE_TAIL_GAP</x:v>
      </x:c>
      <x:c r="R296" s="13" t="str"/>
      <x:c r="S296" s="16" t="n">
        <x:v>0</x:v>
      </x:c>
      <x:c r="T296" s="13" t="str">
        <x:v>2b47386bd3ff0e0d1baba9103e8739e5cfa07ab1762e45570c86eca4ae811c2b</x:v>
      </x:c>
    </x:row>
    <x:row r="297" ht="15" hidden="0" customHeight="1">
      <x:c r="A297" s="13" t="str">
        <x:v>PBQZV0x-fEA</x:v>
      </x:c>
      <x:c r="B297" s="13" t="str">
        <x:v>Stock Market | Game Plan Review | May 4 2015</x:v>
      </x:c>
      <x:c r="C297" s="14" t="d">
        <x:v>2015-05-04T00:00:00.000Z</x:v>
      </x:c>
      <x:c r="D297" s="18" t="e">
        <x:f>HYPERLINK("https://www.youtube.com/watch?v=PBQZV0x-fEA","Watch video")</x:f>
        <x:v>HYPERLINK is not implemented. linkLocation=https://www.youtube.com/watch?v=PBQZV0x-fEA, friendlyName=Watch video</x:v>
      </x:c>
      <x:c r="E297" s="18" t="e">
        <x:f>HYPERLINK("transcripts/PBQZV0x-fEA.html","Complete transcript")</x:f>
        <x:v>HYPERLINK is not implemented. linkLocation=transcripts/PBQZV0x-fEA.html, friendlyName=Complete transcript</x:v>
      </x:c>
      <x:c r="F297" s="13" t="str">
        <x:v>UNKNOWN_REQUIRES_REVIEW</x:v>
      </x:c>
      <x:c r="G297" s="17" t="str">
        <x:v>UNREVIEWED</x:v>
      </x:c>
      <x:c r="H297" s="17" t="str"/>
      <x:c r="I297" s="17" t="str"/>
      <x:c r="J297" s="17" t="str"/>
      <x:c r="K297" s="17" t="str"/>
      <x:c r="L297" s="17" t="str"/>
      <x:c r="M297" s="17" t="str">
        <x:v>PENDING WHOLE-VIDEO REVIEW</x:v>
      </x:c>
      <x:c r="N297" s="15" t="n">
        <x:v>311</x:v>
      </x:c>
      <x:c r="O297" s="15" t="n">
        <x:v>2263</x:v>
      </x:c>
      <x:c r="P297" s="15" t="n">
        <x:v>679</x:v>
      </x:c>
      <x:c r="Q297" s="13" t="str">
        <x:v>NO_LARGE_TAIL_GAP</x:v>
      </x:c>
      <x:c r="R297" s="13" t="str"/>
      <x:c r="S297" s="16" t="n">
        <x:v>0</x:v>
      </x:c>
      <x:c r="T297" s="13" t="str">
        <x:v>8422572c2f880970ecbfe569a00ef84e14d6f489d54d60888f0df11c8b399607</x:v>
      </x:c>
    </x:row>
    <x:row r="298" ht="15" hidden="0" customHeight="1">
      <x:c r="A298" s="13" t="str">
        <x:v>PI5nIcXwSEs</x:v>
      </x:c>
      <x:c r="B298" s="13" t="str">
        <x:v>What Is Sector Rotation and How Can It Improve Your Trading Strategy?</x:v>
      </x:c>
      <x:c r="C298" s="14" t="d">
        <x:v>2026-06-03T00:00:00.000Z</x:v>
      </x:c>
      <x:c r="D298" s="18" t="e">
        <x:f>HYPERLINK("https://www.youtube.com/watch?v=PI5nIcXwSEs","Watch video")</x:f>
        <x:v>HYPERLINK is not implemented. linkLocation=https://www.youtube.com/watch?v=PI5nIcXwSEs, friendlyName=Watch video</x:v>
      </x:c>
      <x:c r="E298" s="18" t="e">
        <x:f>HYPERLINK("transcripts/PI5nIcXwSEs.html","Complete transcript")</x:f>
        <x:v>HYPERLINK is not implemented. linkLocation=transcripts/PI5nIcXwSEs.html, friendlyName=Complete transcript</x:v>
      </x:c>
      <x:c r="F298" s="13" t="str">
        <x:v>UNKNOWN_REQUIRES_REVIEW</x:v>
      </x:c>
      <x:c r="G298" s="17" t="str">
        <x:v>UNREVIEWED</x:v>
      </x:c>
      <x:c r="H298" s="17" t="str"/>
      <x:c r="I298" s="17" t="str"/>
      <x:c r="J298" s="17" t="str"/>
      <x:c r="K298" s="17" t="str"/>
      <x:c r="L298" s="17" t="str"/>
      <x:c r="M298" s="17" t="str">
        <x:v>PENDING WHOLE-VIDEO REVIEW</x:v>
      </x:c>
      <x:c r="N298" s="15" t="n">
        <x:v>213</x:v>
      </x:c>
      <x:c r="O298" s="15" t="n">
        <x:v>1228</x:v>
      </x:c>
      <x:c r="P298" s="15" t="n">
        <x:v>450</x:v>
      </x:c>
      <x:c r="Q298" s="13" t="str">
        <x:v>NO_LARGE_TAIL_GAP</x:v>
      </x:c>
      <x:c r="R298" s="13" t="str"/>
      <x:c r="S298" s="16" t="n">
        <x:v>0</x:v>
      </x:c>
      <x:c r="T298" s="13" t="str">
        <x:v>5af982d8c0d4ce7bdf2990b8c5d13c3d737c7c9500f74ef6cb61e0822cf17b8a</x:v>
      </x:c>
    </x:row>
    <x:row r="299" ht="15" hidden="0" customHeight="1">
      <x:c r="A299" s="13" t="str">
        <x:v>PI8V4q8naWM</x:v>
      </x:c>
      <x:c r="B299" s="13" t="str">
        <x:v>Trading Probabilities | Stocks for Breakfast 6-30-20</x:v>
      </x:c>
      <x:c r="C299" s="14" t="d">
        <x:v>2020-06-30T00:00:00.000Z</x:v>
      </x:c>
      <x:c r="D299" s="18" t="e">
        <x:f>HYPERLINK("https://www.youtube.com/watch?v=PI8V4q8naWM","Watch video")</x:f>
        <x:v>HYPERLINK is not implemented. linkLocation=https://www.youtube.com/watch?v=PI8V4q8naWM, friendlyName=Watch video</x:v>
      </x:c>
      <x:c r="E299" s="18" t="e">
        <x:f>HYPERLINK("transcripts/PI8V4q8naWM.html","Complete transcript")</x:f>
        <x:v>HYPERLINK is not implemented. linkLocation=transcripts/PI8V4q8naWM.html, friendlyName=Complete transcript</x:v>
      </x:c>
      <x:c r="F299" s="13" t="str">
        <x:v>UNKNOWN_REQUIRES_REVIEW</x:v>
      </x:c>
      <x:c r="G299" s="17" t="str">
        <x:v>UNREVIEWED</x:v>
      </x:c>
      <x:c r="H299" s="17" t="str"/>
      <x:c r="I299" s="17" t="str"/>
      <x:c r="J299" s="17" t="str"/>
      <x:c r="K299" s="17" t="str"/>
      <x:c r="L299" s="17" t="str"/>
      <x:c r="M299" s="17" t="str">
        <x:v>PENDING WHOLE-VIDEO REVIEW</x:v>
      </x:c>
      <x:c r="N299" s="15" t="n">
        <x:v>476</x:v>
      </x:c>
      <x:c r="O299" s="15" t="n">
        <x:v>3413</x:v>
      </x:c>
      <x:c r="P299" s="15" t="n">
        <x:v>989</x:v>
      </x:c>
      <x:c r="Q299" s="13" t="str">
        <x:v>NO_LARGE_TAIL_GAP</x:v>
      </x:c>
      <x:c r="R299" s="13" t="str"/>
      <x:c r="S299" s="16" t="n">
        <x:v>0</x:v>
      </x:c>
      <x:c r="T299" s="13" t="str">
        <x:v>06f85ab29e20e974fdaaae22c51a64ce98f44a163665094e093765ee0ab0b726</x:v>
      </x:c>
    </x:row>
    <x:row r="300" ht="15" hidden="0" customHeight="1">
      <x:c r="A300" s="13" t="str">
        <x:v>PMyVrOsrY9s</x:v>
      </x:c>
      <x:c r="B300" s="13" t="str">
        <x:v>Stocks Rally, Options Selling | The Wheel Strategy</x:v>
      </x:c>
      <x:c r="C300" s="14" t="d">
        <x:v>2024-08-16T00:00:00.000Z</x:v>
      </x:c>
      <x:c r="D300" s="18" t="e">
        <x:f>HYPERLINK("https://www.youtube.com/watch?v=PMyVrOsrY9s","Watch video")</x:f>
        <x:v>HYPERLINK is not implemented. linkLocation=https://www.youtube.com/watch?v=PMyVrOsrY9s, friendlyName=Watch video</x:v>
      </x:c>
      <x:c r="E300" s="18" t="e">
        <x:f>HYPERLINK("transcripts/PMyVrOsrY9s.html","Complete transcript")</x:f>
        <x:v>HYPERLINK is not implemented. linkLocation=transcripts/PMyVrOsrY9s.html, friendlyName=Complete transcript</x:v>
      </x:c>
      <x:c r="F300" s="13" t="str">
        <x:v>UNKNOWN_REQUIRES_REVIEW</x:v>
      </x:c>
      <x:c r="G300" s="17" t="str">
        <x:v>UNREVIEWED</x:v>
      </x:c>
      <x:c r="H300" s="17" t="str"/>
      <x:c r="I300" s="17" t="str"/>
      <x:c r="J300" s="17" t="str"/>
      <x:c r="K300" s="17" t="str"/>
      <x:c r="L300" s="17" t="str"/>
      <x:c r="M300" s="17" t="str">
        <x:v>PENDING WHOLE-VIDEO REVIEW</x:v>
      </x:c>
      <x:c r="N300" s="15" t="n">
        <x:v>819</x:v>
      </x:c>
      <x:c r="O300" s="15" t="n">
        <x:v>6163</x:v>
      </x:c>
      <x:c r="P300" s="15" t="n">
        <x:v>1677</x:v>
      </x:c>
      <x:c r="Q300" s="13" t="str">
        <x:v>NO_LARGE_TAIL_GAP</x:v>
      </x:c>
      <x:c r="R300" s="13" t="str"/>
      <x:c r="S300" s="16" t="n">
        <x:v>0</x:v>
      </x:c>
      <x:c r="T300" s="13" t="str">
        <x:v>993e4867b153458b9bbbc91afaae17f7747889444e84143fdeb4ca0997662c35</x:v>
      </x:c>
    </x:row>
    <x:row r="301" ht="15" hidden="0" customHeight="1">
      <x:c r="A301" s="13" t="str">
        <x:v>PQG9qx20iwE</x:v>
      </x:c>
      <x:c r="B301" s="13" t="str">
        <x:v>Don't Trade Options Till You Know This</x:v>
      </x:c>
      <x:c r="C301" s="14" t="d">
        <x:v>2025-02-06T00:00:00.000Z</x:v>
      </x:c>
      <x:c r="D301" s="18" t="e">
        <x:f>HYPERLINK("https://www.youtube.com/watch?v=PQG9qx20iwE","Watch video")</x:f>
        <x:v>HYPERLINK is not implemented. linkLocation=https://www.youtube.com/watch?v=PQG9qx20iwE, friendlyName=Watch video</x:v>
      </x:c>
      <x:c r="E301" s="18" t="e">
        <x:f>HYPERLINK("transcripts/PQG9qx20iwE.html","Complete transcript")</x:f>
        <x:v>HYPERLINK is not implemented. linkLocation=transcripts/PQG9qx20iwE.html, friendlyName=Complete transcript</x:v>
      </x:c>
      <x:c r="F301" s="13" t="str">
        <x:v>NON_PETE_EXPLICIT_JOHN</x:v>
      </x:c>
      <x:c r="G301" s="17" t="str">
        <x:v>UNREVIEWED</x:v>
      </x:c>
      <x:c r="H301" s="17" t="str"/>
      <x:c r="I301" s="17" t="str"/>
      <x:c r="J301" s="17" t="str"/>
      <x:c r="K301" s="17" t="str"/>
      <x:c r="L301" s="17" t="str"/>
      <x:c r="M301" s="17" t="str">
        <x:v>PENDING WHOLE-VIDEO REVIEW</x:v>
      </x:c>
      <x:c r="N301" s="15" t="n">
        <x:v>379</x:v>
      </x:c>
      <x:c r="O301" s="15" t="n">
        <x:v>2671</x:v>
      </x:c>
      <x:c r="P301" s="15" t="n">
        <x:v>817</x:v>
      </x:c>
      <x:c r="Q301" s="13" t="str">
        <x:v>NO_LARGE_TAIL_GAP</x:v>
      </x:c>
      <x:c r="R301" s="13" t="str"/>
      <x:c r="S301" s="16" t="n">
        <x:v>0</x:v>
      </x:c>
      <x:c r="T301" s="13" t="str">
        <x:v>ed0961c2147824a65aa3493019d8488c11b94e89d48fd3aabd5cd5481111d74c</x:v>
      </x:c>
    </x:row>
    <x:row r="302" ht="15" hidden="0" customHeight="1">
      <x:c r="A302" s="13" t="str">
        <x:v>PeqmRryl6AA</x:v>
      </x:c>
      <x:c r="B302" s="13" t="str">
        <x:v>SPCE Stock | NFLX Earnings | Best Stock Picks Today 7-17-20</x:v>
      </x:c>
      <x:c r="C302" s="14" t="d">
        <x:v>2020-07-17T00:00:00.000Z</x:v>
      </x:c>
      <x:c r="D302" s="18" t="e">
        <x:f>HYPERLINK("https://www.youtube.com/watch?v=PeqmRryl6AA","Watch video")</x:f>
        <x:v>HYPERLINK is not implemented. linkLocation=https://www.youtube.com/watch?v=PeqmRryl6AA, friendlyName=Watch video</x:v>
      </x:c>
      <x:c r="E302" s="18" t="e">
        <x:f>HYPERLINK("transcripts/PeqmRryl6AA.html","Complete transcript")</x:f>
        <x:v>HYPERLINK is not implemented. linkLocation=transcripts/PeqmRryl6AA.html, friendlyName=Complete transcript</x:v>
      </x:c>
      <x:c r="F302" s="13" t="str">
        <x:v>UNKNOWN_REQUIRES_REVIEW</x:v>
      </x:c>
      <x:c r="G302" s="17" t="str">
        <x:v>UNREVIEWED</x:v>
      </x:c>
      <x:c r="H302" s="17" t="str"/>
      <x:c r="I302" s="17" t="str"/>
      <x:c r="J302" s="17" t="str"/>
      <x:c r="K302" s="17" t="str"/>
      <x:c r="L302" s="17" t="str"/>
      <x:c r="M302" s="17" t="str">
        <x:v>PENDING WHOLE-VIDEO REVIEW</x:v>
      </x:c>
      <x:c r="N302" s="15" t="n">
        <x:v>360</x:v>
      </x:c>
      <x:c r="O302" s="15" t="n">
        <x:v>2625</x:v>
      </x:c>
      <x:c r="P302" s="15" t="n">
        <x:v>758</x:v>
      </x:c>
      <x:c r="Q302" s="13" t="str">
        <x:v>NO_LARGE_TAIL_GAP</x:v>
      </x:c>
      <x:c r="R302" s="13" t="str"/>
      <x:c r="S302" s="16" t="n">
        <x:v>0</x:v>
      </x:c>
      <x:c r="T302" s="13" t="str">
        <x:v>85f115ab24923ac5d8f233c80e08e7e7f7d063dd97cb81944ecce3d959b8bbcc</x:v>
      </x:c>
    </x:row>
    <x:row r="303" ht="15" hidden="0" customHeight="1">
      <x:c r="A303" s="13" t="str">
        <x:v>PwKgOmCcq7Y</x:v>
      </x:c>
      <x:c r="B303" s="13" t="str">
        <x:v>Trading Strategies That Work | 4 7 20 Stocks for Breakfast</x:v>
      </x:c>
      <x:c r="C303" s="14" t="d">
        <x:v>2020-04-07T00:00:00.000Z</x:v>
      </x:c>
      <x:c r="D303" s="18" t="e">
        <x:f>HYPERLINK("https://www.youtube.com/watch?v=PwKgOmCcq7Y","Watch video")</x:f>
        <x:v>HYPERLINK is not implemented. linkLocation=https://www.youtube.com/watch?v=PwKgOmCcq7Y, friendlyName=Watch video</x:v>
      </x:c>
      <x:c r="E303" s="18" t="e">
        <x:f>HYPERLINK("transcripts/PwKgOmCcq7Y.html","Complete transcript")</x:f>
        <x:v>HYPERLINK is not implemented. linkLocation=transcripts/PwKgOmCcq7Y.html, friendlyName=Complete transcript</x:v>
      </x:c>
      <x:c r="F303" s="13" t="str">
        <x:v>PETE_EXPLICIT</x:v>
      </x:c>
      <x:c r="G303" s="17" t="str">
        <x:v>UNREVIEWED</x:v>
      </x:c>
      <x:c r="H303" s="17" t="str"/>
      <x:c r="I303" s="17" t="str"/>
      <x:c r="J303" s="17" t="str"/>
      <x:c r="K303" s="17" t="str"/>
      <x:c r="L303" s="17" t="str"/>
      <x:c r="M303" s="17" t="str">
        <x:v>PENDING WHOLE-VIDEO REVIEW</x:v>
      </x:c>
      <x:c r="N303" s="15" t="n">
        <x:v>231</x:v>
      </x:c>
      <x:c r="O303" s="15" t="n">
        <x:v>4044</x:v>
      </x:c>
      <x:c r="P303" s="15" t="n">
        <x:v>1166</x:v>
      </x:c>
      <x:c r="Q303" s="13" t="str">
        <x:v>NO_LARGE_TAIL_GAP</x:v>
      </x:c>
      <x:c r="R303" s="13" t="str"/>
      <x:c r="S303" s="16" t="n">
        <x:v>0</x:v>
      </x:c>
      <x:c r="T303" s="13" t="str">
        <x:v>2e5fbedb8c476e25f6081f4df89edafdf36743a94d682b5ad8d3b1aa41164400</x:v>
      </x:c>
    </x:row>
    <x:row r="304" ht="15" hidden="0" customHeight="1">
      <x:c r="A304" s="13" t="str">
        <x:v>PwQY9dcDxbs</x:v>
      </x:c>
      <x:c r="B304" s="13" t="str">
        <x:v>How to Stop Trading Like a Rookie</x:v>
      </x:c>
      <x:c r="C304" s="14" t="d">
        <x:v>2020-05-29T00:00:00.000Z</x:v>
      </x:c>
      <x:c r="D304" s="18" t="e">
        <x:f>HYPERLINK("https://www.youtube.com/watch?v=PwQY9dcDxbs","Watch video")</x:f>
        <x:v>HYPERLINK is not implemented. linkLocation=https://www.youtube.com/watch?v=PwQY9dcDxbs, friendlyName=Watch video</x:v>
      </x:c>
      <x:c r="E304" s="18" t="e">
        <x:f>HYPERLINK("transcripts/PwQY9dcDxbs.html","Complete transcript")</x:f>
        <x:v>HYPERLINK is not implemented. linkLocation=transcripts/PwQY9dcDxbs.html, friendlyName=Complete transcript</x:v>
      </x:c>
      <x:c r="F304" s="13" t="str">
        <x:v>UNKNOWN_REQUIRES_REVIEW</x:v>
      </x:c>
      <x:c r="G304" s="17" t="str">
        <x:v>UNREVIEWED</x:v>
      </x:c>
      <x:c r="H304" s="17" t="str"/>
      <x:c r="I304" s="17" t="str"/>
      <x:c r="J304" s="17" t="str"/>
      <x:c r="K304" s="17" t="str"/>
      <x:c r="L304" s="17" t="str"/>
      <x:c r="M304" s="17" t="str">
        <x:v>PENDING WHOLE-VIDEO REVIEW</x:v>
      </x:c>
      <x:c r="N304" s="15" t="n">
        <x:v>445</x:v>
      </x:c>
      <x:c r="O304" s="15" t="n">
        <x:v>3203</x:v>
      </x:c>
      <x:c r="P304" s="15" t="n">
        <x:v>954</x:v>
      </x:c>
      <x:c r="Q304" s="13" t="str">
        <x:v>NO_LARGE_TAIL_GAP</x:v>
      </x:c>
      <x:c r="R304" s="13" t="str"/>
      <x:c r="S304" s="16" t="n">
        <x:v>0</x:v>
      </x:c>
      <x:c r="T304" s="13" t="str">
        <x:v>7602b94cfd032962ff82ac491d955579f71498449299d6b8e36ea31b5516c809</x:v>
      </x:c>
    </x:row>
    <x:row r="305" ht="15" hidden="0" customHeight="1">
      <x:c r="A305" s="13" t="str">
        <x:v>Q6Jd9eYU5C4</x:v>
      </x:c>
      <x:c r="B305" s="13" t="str">
        <x:v>Trading Game Plan | Advanced Stock Trading Strategies</x:v>
      </x:c>
      <x:c r="C305" s="14" t="d">
        <x:v>2021-08-12T00:00:00.000Z</x:v>
      </x:c>
      <x:c r="D305" s="18" t="e">
        <x:f>HYPERLINK("https://www.youtube.com/watch?v=Q6Jd9eYU5C4","Watch video")</x:f>
        <x:v>HYPERLINK is not implemented. linkLocation=https://www.youtube.com/watch?v=Q6Jd9eYU5C4, friendlyName=Watch video</x:v>
      </x:c>
      <x:c r="E305" s="18" t="e">
        <x:f>HYPERLINK("transcripts/Q6Jd9eYU5C4.html","Complete transcript")</x:f>
        <x:v>HYPERLINK is not implemented. linkLocation=transcripts/Q6Jd9eYU5C4.html, friendlyName=Complete transcript</x:v>
      </x:c>
      <x:c r="F305" s="13" t="str">
        <x:v>PETE_EXPLICIT</x:v>
      </x:c>
      <x:c r="G305" s="17" t="str">
        <x:v>UNREVIEWED</x:v>
      </x:c>
      <x:c r="H305" s="17" t="str"/>
      <x:c r="I305" s="17" t="str"/>
      <x:c r="J305" s="17" t="str"/>
      <x:c r="K305" s="17" t="str"/>
      <x:c r="L305" s="17" t="str"/>
      <x:c r="M305" s="17" t="str">
        <x:v>PENDING WHOLE-VIDEO REVIEW</x:v>
      </x:c>
      <x:c r="N305" s="15" t="n">
        <x:v>601</x:v>
      </x:c>
      <x:c r="O305" s="15" t="n">
        <x:v>4044</x:v>
      </x:c>
      <x:c r="P305" s="15" t="n">
        <x:v>1283</x:v>
      </x:c>
      <x:c r="Q305" s="13" t="str">
        <x:v>NO_LARGE_TAIL_GAP</x:v>
      </x:c>
      <x:c r="R305" s="13" t="str"/>
      <x:c r="S305" s="16" t="n">
        <x:v>0</x:v>
      </x:c>
      <x:c r="T305" s="13" t="str">
        <x:v>66cd187300c0a9afbdeaac2282a6639a1348570995396d12e6f935c30a3968d7</x:v>
      </x:c>
    </x:row>
    <x:row r="306" ht="15" hidden="0" customHeight="1">
      <x:c r="A306" s="13" t="str">
        <x:v>Q8ZroDvzIZ0</x:v>
      </x:c>
      <x:c r="B306" s="13" t="str">
        <x:v>Trend Trading | How to Make The Most Money When the Stock Market is Obvious</x:v>
      </x:c>
      <x:c r="C306" s="14" t="d">
        <x:v>2020-05-21T00:00:00.000Z</x:v>
      </x:c>
      <x:c r="D306" s="18" t="e">
        <x:f>HYPERLINK("https://www.youtube.com/watch?v=Q8ZroDvzIZ0","Watch video")</x:f>
        <x:v>HYPERLINK is not implemented. linkLocation=https://www.youtube.com/watch?v=Q8ZroDvzIZ0, friendlyName=Watch video</x:v>
      </x:c>
      <x:c r="E306" s="18" t="e">
        <x:f>HYPERLINK("transcripts/Q8ZroDvzIZ0.html","Complete transcript")</x:f>
        <x:v>HYPERLINK is not implemented. linkLocation=transcripts/Q8ZroDvzIZ0.html, friendlyName=Complete transcript</x:v>
      </x:c>
      <x:c r="F306" s="13" t="str">
        <x:v>UNKNOWN_REQUIRES_REVIEW</x:v>
      </x:c>
      <x:c r="G306" s="17" t="str">
        <x:v>UNREVIEWED</x:v>
      </x:c>
      <x:c r="H306" s="17" t="str"/>
      <x:c r="I306" s="17" t="str"/>
      <x:c r="J306" s="17" t="str"/>
      <x:c r="K306" s="17" t="str"/>
      <x:c r="L306" s="17" t="str"/>
      <x:c r="M306" s="17" t="str">
        <x:v>PENDING WHOLE-VIDEO REVIEW</x:v>
      </x:c>
      <x:c r="N306" s="15" t="n">
        <x:v>317</x:v>
      </x:c>
      <x:c r="O306" s="15" t="n">
        <x:v>2291</x:v>
      </x:c>
      <x:c r="P306" s="15" t="n">
        <x:v>726</x:v>
      </x:c>
      <x:c r="Q306" s="13" t="str">
        <x:v>NO_LARGE_TAIL_GAP</x:v>
      </x:c>
      <x:c r="R306" s="13" t="str"/>
      <x:c r="S306" s="16" t="n">
        <x:v>0</x:v>
      </x:c>
      <x:c r="T306" s="13" t="str">
        <x:v>fc2f4038c66a8190b15ee07e03d924892f556da9d6dbc265d66f2989f1d00428</x:v>
      </x:c>
    </x:row>
    <x:row r="307" ht="15" hidden="0" customHeight="1">
      <x:c r="A307" s="13" t="str">
        <x:v>QALW-J03MrM</x:v>
      </x:c>
      <x:c r="B307" s="13" t="str">
        <x:v>How Profitable Traders Achieve Consistency</x:v>
      </x:c>
      <x:c r="C307" s="14" t="d">
        <x:v>2015-06-01T00:00:00.000Z</x:v>
      </x:c>
      <x:c r="D307" s="18" t="e">
        <x:f>HYPERLINK("https://www.youtube.com/watch?v=QALW-J03MrM","Watch video")</x:f>
        <x:v>HYPERLINK is not implemented. linkLocation=https://www.youtube.com/watch?v=QALW-J03MrM, friendlyName=Watch video</x:v>
      </x:c>
      <x:c r="E307" s="18" t="e">
        <x:f>HYPERLINK("transcripts/QALW-J03MrM.html","Complete transcript")</x:f>
        <x:v>HYPERLINK is not implemented. linkLocation=transcripts/QALW-J03MrM.html, friendlyName=Complete transcript</x:v>
      </x:c>
      <x:c r="F307" s="13" t="str">
        <x:v>UNKNOWN_REQUIRES_REVIEW</x:v>
      </x:c>
      <x:c r="G307" s="17" t="str">
        <x:v>UNREVIEWED</x:v>
      </x:c>
      <x:c r="H307" s="17" t="str"/>
      <x:c r="I307" s="17" t="str"/>
      <x:c r="J307" s="17" t="str"/>
      <x:c r="K307" s="17" t="str"/>
      <x:c r="L307" s="17" t="str"/>
      <x:c r="M307" s="17" t="str">
        <x:v>PENDING WHOLE-VIDEO REVIEW</x:v>
      </x:c>
      <x:c r="N307" s="15" t="n">
        <x:v>819</x:v>
      </x:c>
      <x:c r="O307" s="15" t="n">
        <x:v>5378</x:v>
      </x:c>
      <x:c r="P307" s="15" t="n">
        <x:v>1737</x:v>
      </x:c>
      <x:c r="Q307" s="13" t="str">
        <x:v>NO_LARGE_TAIL_GAP</x:v>
      </x:c>
      <x:c r="R307" s="13" t="str"/>
      <x:c r="S307" s="16" t="n">
        <x:v>0</x:v>
      </x:c>
      <x:c r="T307" s="13" t="str">
        <x:v>af245197aa6e2fdf64c34c64214ef83b40ee7d0e5b5f2017119e359c72018380</x:v>
      </x:c>
    </x:row>
    <x:row r="308" ht="15" hidden="0" customHeight="1">
      <x:c r="A308" s="13" t="str">
        <x:v>QIuRrn1upUY</x:v>
      </x:c>
      <x:c r="B308" s="13" t="str">
        <x:v>Day Trading While Utilizing Level 2</x:v>
      </x:c>
      <x:c r="C308" s="14" t="d">
        <x:v>2026-06-10T00:00:00.000Z</x:v>
      </x:c>
      <x:c r="D308" s="18" t="e">
        <x:f>HYPERLINK("https://www.youtube.com/watch?v=QIuRrn1upUY","Watch video")</x:f>
        <x:v>HYPERLINK is not implemented. linkLocation=https://www.youtube.com/watch?v=QIuRrn1upUY, friendlyName=Watch video</x:v>
      </x:c>
      <x:c r="E308" s="18" t="e">
        <x:f>HYPERLINK("transcripts/QIuRrn1upUY.html","Complete transcript")</x:f>
        <x:v>HYPERLINK is not implemented. linkLocation=transcripts/QIuRrn1upUY.html, friendlyName=Complete transcript</x:v>
      </x:c>
      <x:c r="F308" s="13" t="str">
        <x:v>UNKNOWN_REQUIRES_REVIEW</x:v>
      </x:c>
      <x:c r="G308" s="17" t="str">
        <x:v>UNREVIEWED</x:v>
      </x:c>
      <x:c r="H308" s="17" t="str"/>
      <x:c r="I308" s="17" t="str"/>
      <x:c r="J308" s="17" t="str"/>
      <x:c r="K308" s="17" t="str"/>
      <x:c r="L308" s="17" t="str"/>
      <x:c r="M308" s="17" t="str">
        <x:v>PENDING WHOLE-VIDEO REVIEW</x:v>
      </x:c>
      <x:c r="N308" s="15" t="n">
        <x:v>212</x:v>
      </x:c>
      <x:c r="O308" s="15" t="n">
        <x:v>1269</x:v>
      </x:c>
      <x:c r="P308" s="15" t="n">
        <x:v>448</x:v>
      </x:c>
      <x:c r="Q308" s="13" t="str">
        <x:v>NO_LARGE_TAIL_GAP</x:v>
      </x:c>
      <x:c r="R308" s="13" t="str"/>
      <x:c r="S308" s="16" t="n">
        <x:v>0</x:v>
      </x:c>
      <x:c r="T308" s="13" t="str">
        <x:v>07350ca161f2b06880330789d0c6758bf6de94cd2bdec27bbdbfc1fe942a7e35</x:v>
      </x:c>
    </x:row>
    <x:row r="309" ht="15" hidden="0" customHeight="1">
      <x:c r="A309" s="13" t="str">
        <x:v>QpuhYtU09GM</x:v>
      </x:c>
      <x:c r="B309" s="13" t="str">
        <x:v>TSLA Stock 6 9 20 Best Stock Picks Today</x:v>
      </x:c>
      <x:c r="C309" s="14" t="d">
        <x:v>2020-06-09T00:00:00.000Z</x:v>
      </x:c>
      <x:c r="D309" s="18" t="e">
        <x:f>HYPERLINK("https://www.youtube.com/watch?v=QpuhYtU09GM","Watch video")</x:f>
        <x:v>HYPERLINK is not implemented. linkLocation=https://www.youtube.com/watch?v=QpuhYtU09GM, friendlyName=Watch video</x:v>
      </x:c>
      <x:c r="E309" s="18" t="e">
        <x:f>HYPERLINK("transcripts/QpuhYtU09GM.html","Complete transcript")</x:f>
        <x:v>HYPERLINK is not implemented. linkLocation=transcripts/QpuhYtU09GM.html, friendlyName=Complete transcript</x:v>
      </x:c>
      <x:c r="F309" s="13" t="str">
        <x:v>PETE_EXPLICIT</x:v>
      </x:c>
      <x:c r="G309" s="17" t="str">
        <x:v>UNREVIEWED</x:v>
      </x:c>
      <x:c r="H309" s="17" t="str"/>
      <x:c r="I309" s="17" t="str"/>
      <x:c r="J309" s="17" t="str"/>
      <x:c r="K309" s="17" t="str"/>
      <x:c r="L309" s="17" t="str"/>
      <x:c r="M309" s="17" t="str">
        <x:v>PENDING WHOLE-VIDEO REVIEW</x:v>
      </x:c>
      <x:c r="N309" s="15" t="n">
        <x:v>538</x:v>
      </x:c>
      <x:c r="O309" s="15" t="n">
        <x:v>3900</x:v>
      </x:c>
      <x:c r="P309" s="15" t="n">
        <x:v>1129</x:v>
      </x:c>
      <x:c r="Q309" s="13" t="str">
        <x:v>NO_LARGE_TAIL_GAP</x:v>
      </x:c>
      <x:c r="R309" s="13" t="str"/>
      <x:c r="S309" s="16" t="n">
        <x:v>0</x:v>
      </x:c>
      <x:c r="T309" s="13" t="str">
        <x:v>4112d40372cf97e8d572df8e0adaa10f20bbe3e7bc9ab2e22322197cd923ece7</x:v>
      </x:c>
    </x:row>
    <x:row r="310" ht="15" hidden="0" customHeight="1">
      <x:c r="A310" s="13" t="str">
        <x:v>QwqWktQcSgc</x:v>
      </x:c>
      <x:c r="B310" s="13" t="str">
        <x:v>Stock Picking Strategies | Timing the Right Entry</x:v>
      </x:c>
      <x:c r="C310" s="14" t="d">
        <x:v>2020-10-22T00:00:00.000Z</x:v>
      </x:c>
      <x:c r="D310" s="18" t="e">
        <x:f>HYPERLINK("https://www.youtube.com/watch?v=QwqWktQcSgc","Watch video")</x:f>
        <x:v>HYPERLINK is not implemented. linkLocation=https://www.youtube.com/watch?v=QwqWktQcSgc, friendlyName=Watch video</x:v>
      </x:c>
      <x:c r="E310" s="18" t="e">
        <x:f>HYPERLINK("transcripts/QwqWktQcSgc.html","Complete transcript")</x:f>
        <x:v>HYPERLINK is not implemented. linkLocation=transcripts/QwqWktQcSgc.html, friendlyName=Complete transcript</x:v>
      </x:c>
      <x:c r="F310" s="13" t="str">
        <x:v>PETE_EXPLICIT</x:v>
      </x:c>
      <x:c r="G310" s="17" t="str">
        <x:v>UNREVIEWED</x:v>
      </x:c>
      <x:c r="H310" s="17" t="str"/>
      <x:c r="I310" s="17" t="str"/>
      <x:c r="J310" s="17" t="str"/>
      <x:c r="K310" s="17" t="str"/>
      <x:c r="L310" s="17" t="str"/>
      <x:c r="M310" s="17" t="str">
        <x:v>PENDING WHOLE-VIDEO REVIEW</x:v>
      </x:c>
      <x:c r="N310" s="15" t="n">
        <x:v>457</x:v>
      </x:c>
      <x:c r="O310" s="15" t="n">
        <x:v>2834</x:v>
      </x:c>
      <x:c r="P310" s="15" t="n">
        <x:v>823</x:v>
      </x:c>
      <x:c r="Q310" s="13" t="str">
        <x:v>NO_LARGE_TAIL_GAP</x:v>
      </x:c>
      <x:c r="R310" s="13" t="str"/>
      <x:c r="S310" s="16" t="n">
        <x:v>0</x:v>
      </x:c>
      <x:c r="T310" s="13" t="str">
        <x:v>258240ceec6186c8b20f12981557a8cd8183e2d02dae357e7ef229ecbe0f4e84</x:v>
      </x:c>
    </x:row>
    <x:row r="311" ht="15" hidden="0" customHeight="1">
      <x:c r="A311" s="13" t="str">
        <x:v>R-cXreSwSbE</x:v>
      </x:c>
      <x:c r="B311" s="13" t="str">
        <x:v>How to Prevent BIG Trading Losses</x:v>
      </x:c>
      <x:c r="C311" s="14" t="d">
        <x:v>2020-07-14T00:00:00.000Z</x:v>
      </x:c>
      <x:c r="D311" s="18" t="e">
        <x:f>HYPERLINK("https://www.youtube.com/watch?v=R-cXreSwSbE","Watch video")</x:f>
        <x:v>HYPERLINK is not implemented. linkLocation=https://www.youtube.com/watch?v=R-cXreSwSbE, friendlyName=Watch video</x:v>
      </x:c>
      <x:c r="E311" s="18" t="e">
        <x:f>HYPERLINK("transcripts/R-cXreSwSbE.html","Complete transcript")</x:f>
        <x:v>HYPERLINK is not implemented. linkLocation=transcripts/R-cXreSwSbE.html, friendlyName=Complete transcript</x:v>
      </x:c>
      <x:c r="F311" s="13" t="str">
        <x:v>PETE_EXPLICIT</x:v>
      </x:c>
      <x:c r="G311" s="17" t="str">
        <x:v>UNREVIEWED</x:v>
      </x:c>
      <x:c r="H311" s="17" t="str"/>
      <x:c r="I311" s="17" t="str"/>
      <x:c r="J311" s="17" t="str"/>
      <x:c r="K311" s="17" t="str"/>
      <x:c r="L311" s="17" t="str"/>
      <x:c r="M311" s="17" t="str">
        <x:v>PENDING WHOLE-VIDEO REVIEW</x:v>
      </x:c>
      <x:c r="N311" s="15" t="n">
        <x:v>529</x:v>
      </x:c>
      <x:c r="O311" s="15" t="n">
        <x:v>3344</x:v>
      </x:c>
      <x:c r="P311" s="15" t="n">
        <x:v>943</x:v>
      </x:c>
      <x:c r="Q311" s="13" t="str">
        <x:v>NO_LARGE_TAIL_GAP</x:v>
      </x:c>
      <x:c r="R311" s="13" t="str"/>
      <x:c r="S311" s="16" t="n">
        <x:v>0</x:v>
      </x:c>
      <x:c r="T311" s="13" t="str">
        <x:v>0b26ca3f6d7876e28150e9c3315e637c1ab731f5988b79fcf712ef1a37d6761e</x:v>
      </x:c>
    </x:row>
    <x:row r="312" ht="15" hidden="0" customHeight="1">
      <x:c r="A312" s="13" t="str">
        <x:v>R28fiViit_E</x:v>
      </x:c>
      <x:c r="B312" s="13" t="str">
        <x:v>Best Stock Picks Today 5-14-20 | PYPL LULU</x:v>
      </x:c>
      <x:c r="C312" s="14" t="d">
        <x:v>2020-05-14T00:00:00.000Z</x:v>
      </x:c>
      <x:c r="D312" s="18" t="e">
        <x:f>HYPERLINK("https://www.youtube.com/watch?v=R28fiViit_E","Watch video")</x:f>
        <x:v>HYPERLINK is not implemented. linkLocation=https://www.youtube.com/watch?v=R28fiViit_E, friendlyName=Watch video</x:v>
      </x:c>
      <x:c r="E312" s="18" t="e">
        <x:f>HYPERLINK("transcripts/R28fiViit_E.html","Complete transcript")</x:f>
        <x:v>HYPERLINK is not implemented. linkLocation=transcripts/R28fiViit_E.html, friendlyName=Complete transcript</x:v>
      </x:c>
      <x:c r="F312" s="13" t="str">
        <x:v>UNKNOWN_REQUIRES_REVIEW</x:v>
      </x:c>
      <x:c r="G312" s="17" t="str">
        <x:v>UNREVIEWED</x:v>
      </x:c>
      <x:c r="H312" s="17" t="str"/>
      <x:c r="I312" s="17" t="str"/>
      <x:c r="J312" s="17" t="str"/>
      <x:c r="K312" s="17" t="str"/>
      <x:c r="L312" s="17" t="str"/>
      <x:c r="M312" s="17" t="str">
        <x:v>PENDING WHOLE-VIDEO REVIEW</x:v>
      </x:c>
      <x:c r="N312" s="15" t="n">
        <x:v>511</x:v>
      </x:c>
      <x:c r="O312" s="15" t="n">
        <x:v>3734</x:v>
      </x:c>
      <x:c r="P312" s="15" t="n">
        <x:v>1081</x:v>
      </x:c>
      <x:c r="Q312" s="13" t="str">
        <x:v>NO_LARGE_TAIL_GAP</x:v>
      </x:c>
      <x:c r="R312" s="13" t="str"/>
      <x:c r="S312" s="16" t="n">
        <x:v>0</x:v>
      </x:c>
      <x:c r="T312" s="13" t="str">
        <x:v>5bf66c205ed7b1a3eb245733d9a45f7459552a02e44850a1d461bd6fb492bf81</x:v>
      </x:c>
    </x:row>
    <x:row r="313" ht="15" hidden="0" customHeight="1">
      <x:c r="A313" s="13" t="str">
        <x:v>R5VMajWd6M8</x:v>
      </x:c>
      <x:c r="B313" s="13" t="str">
        <x:v>How to Trade Stocks Without Watching the Market All Day</x:v>
      </x:c>
      <x:c r="C313" s="14" t="d">
        <x:v>2025-12-05T00:00:00.000Z</x:v>
      </x:c>
      <x:c r="D313" s="18" t="e">
        <x:f>HYPERLINK("https://www.youtube.com/watch?v=R5VMajWd6M8","Watch video")</x:f>
        <x:v>HYPERLINK is not implemented. linkLocation=https://www.youtube.com/watch?v=R5VMajWd6M8, friendlyName=Watch video</x:v>
      </x:c>
      <x:c r="E313" s="18" t="e">
        <x:f>HYPERLINK("transcripts/R5VMajWd6M8.html","Complete transcript")</x:f>
        <x:v>HYPERLINK is not implemented. linkLocation=transcripts/R5VMajWd6M8.html, friendlyName=Complete transcript</x:v>
      </x:c>
      <x:c r="F313" s="13" t="str">
        <x:v>PETE_EXPLICIT</x:v>
      </x:c>
      <x:c r="G313" s="17" t="str">
        <x:v>UNREVIEWED</x:v>
      </x:c>
      <x:c r="H313" s="17" t="str"/>
      <x:c r="I313" s="17" t="str"/>
      <x:c r="J313" s="17" t="str"/>
      <x:c r="K313" s="17" t="str"/>
      <x:c r="L313" s="17" t="str"/>
      <x:c r="M313" s="17" t="str">
        <x:v>PENDING WHOLE-VIDEO REVIEW</x:v>
      </x:c>
      <x:c r="N313" s="15" t="n">
        <x:v>1335</x:v>
      </x:c>
      <x:c r="O313" s="15" t="n">
        <x:v>9398</x:v>
      </x:c>
      <x:c r="P313" s="15" t="n">
        <x:v>2663</x:v>
      </x:c>
      <x:c r="Q313" s="13" t="str">
        <x:v>NO_LARGE_TAIL_GAP</x:v>
      </x:c>
      <x:c r="R313" s="13" t="str"/>
      <x:c r="S313" s="16" t="n">
        <x:v>0</x:v>
      </x:c>
      <x:c r="T313" s="13" t="str">
        <x:v>acb3594f143b2934c470a6772d0f819ef08dc86644dcc266689c133607b3837a</x:v>
      </x:c>
    </x:row>
    <x:row r="314" ht="15" hidden="0" customHeight="1">
      <x:c r="A314" s="13" t="str">
        <x:v>RGEo-KSUFVc</x:v>
      </x:c>
      <x:c r="B314" s="13" t="str">
        <x:v>Plan Your Stock Trades Ahead with A Sector Rotation</x:v>
      </x:c>
      <x:c r="C314" s="14" t="d">
        <x:v>2023-03-03T00:00:00.000Z</x:v>
      </x:c>
      <x:c r="D314" s="18" t="e">
        <x:f>HYPERLINK("https://www.youtube.com/watch?v=RGEo-KSUFVc","Watch video")</x:f>
        <x:v>HYPERLINK is not implemented. linkLocation=https://www.youtube.com/watch?v=RGEo-KSUFVc, friendlyName=Watch video</x:v>
      </x:c>
      <x:c r="E314" s="18" t="e">
        <x:f>HYPERLINK("transcripts/RGEo-KSUFVc.html","Complete transcript")</x:f>
        <x:v>HYPERLINK is not implemented. linkLocation=transcripts/RGEo-KSUFVc.html, friendlyName=Complete transcript</x:v>
      </x:c>
      <x:c r="F314" s="13" t="str">
        <x:v>UNKNOWN_REQUIRES_REVIEW</x:v>
      </x:c>
      <x:c r="G314" s="17" t="str">
        <x:v>UNREVIEWED</x:v>
      </x:c>
      <x:c r="H314" s="17" t="str"/>
      <x:c r="I314" s="17" t="str"/>
      <x:c r="J314" s="17" t="str"/>
      <x:c r="K314" s="17" t="str"/>
      <x:c r="L314" s="17" t="str"/>
      <x:c r="M314" s="17" t="str">
        <x:v>PENDING WHOLE-VIDEO REVIEW</x:v>
      </x:c>
      <x:c r="N314" s="15" t="n">
        <x:v>29</x:v>
      </x:c>
      <x:c r="O314" s="15" t="n">
        <x:v>211</x:v>
      </x:c>
      <x:c r="P314" s="15" t="n">
        <x:v>63</x:v>
      </x:c>
      <x:c r="Q314" s="13" t="str">
        <x:v>NO_LARGE_TAIL_GAP</x:v>
      </x:c>
      <x:c r="R314" s="13" t="str"/>
      <x:c r="S314" s="16" t="n">
        <x:v>0</x:v>
      </x:c>
      <x:c r="T314" s="13" t="str">
        <x:v>9768bd011d091599318f2acc8fc0c1e82c4965496867e0239ef1d30c8d9fdbe4</x:v>
      </x:c>
    </x:row>
    <x:row r="315" ht="15" hidden="0" customHeight="1">
      <x:c r="A315" s="13" t="str">
        <x:v>RJJ7Udcg8s0</x:v>
      </x:c>
      <x:c r="B315" s="13" t="str">
        <x:v>Best Stock Picks Today | GS Goldman Sachs 10-9-20</x:v>
      </x:c>
      <x:c r="C315" s="14" t="d">
        <x:v>2020-10-09T00:00:00.000Z</x:v>
      </x:c>
      <x:c r="D315" s="18" t="e">
        <x:f>HYPERLINK("https://www.youtube.com/watch?v=RJJ7Udcg8s0","Watch video")</x:f>
        <x:v>HYPERLINK is not implemented. linkLocation=https://www.youtube.com/watch?v=RJJ7Udcg8s0, friendlyName=Watch video</x:v>
      </x:c>
      <x:c r="E315" s="18" t="e">
        <x:f>HYPERLINK("transcripts/RJJ7Udcg8s0.html","Complete transcript")</x:f>
        <x:v>HYPERLINK is not implemented. linkLocation=transcripts/RJJ7Udcg8s0.html, friendlyName=Complete transcript</x:v>
      </x:c>
      <x:c r="F315" s="13" t="str">
        <x:v>PETE_EXPLICIT</x:v>
      </x:c>
      <x:c r="G315" s="17" t="str">
        <x:v>UNREVIEWED</x:v>
      </x:c>
      <x:c r="H315" s="17" t="str"/>
      <x:c r="I315" s="17" t="str"/>
      <x:c r="J315" s="17" t="str"/>
      <x:c r="K315" s="17" t="str"/>
      <x:c r="L315" s="17" t="str"/>
      <x:c r="M315" s="17" t="str">
        <x:v>PENDING WHOLE-VIDEO REVIEW</x:v>
      </x:c>
      <x:c r="N315" s="15" t="n">
        <x:v>375</x:v>
      </x:c>
      <x:c r="O315" s="15" t="n">
        <x:v>2338</x:v>
      </x:c>
      <x:c r="P315" s="15" t="n">
        <x:v>685</x:v>
      </x:c>
      <x:c r="Q315" s="13" t="str">
        <x:v>NO_LARGE_TAIL_GAP</x:v>
      </x:c>
      <x:c r="R315" s="13" t="str"/>
      <x:c r="S315" s="16" t="n">
        <x:v>0</x:v>
      </x:c>
      <x:c r="T315" s="13" t="str">
        <x:v>ab2c1909c6620b056e7a28d1e6c7fd33c5b36da9aba1528a8c60bb57f5d078ad</x:v>
      </x:c>
    </x:row>
    <x:row r="316" ht="15" hidden="0" customHeight="1">
      <x:c r="A316" s="13" t="str">
        <x:v>Rdr0r8ge2YQ</x:v>
      </x:c>
      <x:c r="B316" s="13" t="str">
        <x:v>5 Common Traits Successful Options Traders Have</x:v>
      </x:c>
      <x:c r="C316" s="14" t="d">
        <x:v>2024-07-09T00:00:00.000Z</x:v>
      </x:c>
      <x:c r="D316" s="18" t="e">
        <x:f>HYPERLINK("https://www.youtube.com/watch?v=Rdr0r8ge2YQ","Watch video")</x:f>
        <x:v>HYPERLINK is not implemented. linkLocation=https://www.youtube.com/watch?v=Rdr0r8ge2YQ, friendlyName=Watch video</x:v>
      </x:c>
      <x:c r="E316" s="18" t="e">
        <x:f>HYPERLINK("transcripts/Rdr0r8ge2YQ.html","Complete transcript")</x:f>
        <x:v>HYPERLINK is not implemented. linkLocation=transcripts/Rdr0r8ge2YQ.html, friendlyName=Complete transcript</x:v>
      </x:c>
      <x:c r="F316" s="13" t="str">
        <x:v>UNKNOWN_REQUIRES_REVIEW</x:v>
      </x:c>
      <x:c r="G316" s="17" t="str">
        <x:v>UNREVIEWED</x:v>
      </x:c>
      <x:c r="H316" s="17" t="str"/>
      <x:c r="I316" s="17" t="str"/>
      <x:c r="J316" s="17" t="str"/>
      <x:c r="K316" s="17" t="str"/>
      <x:c r="L316" s="17" t="str"/>
      <x:c r="M316" s="17" t="str">
        <x:v>PENDING WHOLE-VIDEO REVIEW</x:v>
      </x:c>
      <x:c r="N316" s="15" t="n">
        <x:v>284</x:v>
      </x:c>
      <x:c r="O316" s="15" t="n">
        <x:v>1966</x:v>
      </x:c>
      <x:c r="P316" s="15" t="n">
        <x:v>663</x:v>
      </x:c>
      <x:c r="Q316" s="13" t="str">
        <x:v>NO_LARGE_TAIL_GAP</x:v>
      </x:c>
      <x:c r="R316" s="13" t="str"/>
      <x:c r="S316" s="16" t="n">
        <x:v>0</x:v>
      </x:c>
      <x:c r="T316" s="13" t="str">
        <x:v>7060f0ebd40b5a1cca6bd83c67d4123e48eec5b7c9ba5d501da0b9f9a1a0df38</x:v>
      </x:c>
    </x:row>
    <x:row r="317" ht="15" hidden="0" customHeight="1">
      <x:c r="A317" s="13" t="str">
        <x:v>Rovw1gbab04</x:v>
      </x:c>
      <x:c r="B317" s="13" t="str">
        <x:v>Portfolio Thinking: The #1 Shift That Separates Pro Traders</x:v>
      </x:c>
      <x:c r="C317" s="14" t="d">
        <x:v>2026-03-16T00:00:00.000Z</x:v>
      </x:c>
      <x:c r="D317" s="18" t="e">
        <x:f>HYPERLINK("https://www.youtube.com/watch?v=Rovw1gbab04","Watch video")</x:f>
        <x:v>HYPERLINK is not implemented. linkLocation=https://www.youtube.com/watch?v=Rovw1gbab04, friendlyName=Watch video</x:v>
      </x:c>
      <x:c r="E317" s="18" t="e">
        <x:f>HYPERLINK("transcripts/Rovw1gbab04.html","Complete transcript")</x:f>
        <x:v>HYPERLINK is not implemented. linkLocation=transcripts/Rovw1gbab04.html, friendlyName=Complete transcript</x:v>
      </x:c>
      <x:c r="F317" s="13" t="str">
        <x:v>UNKNOWN_REQUIRES_REVIEW</x:v>
      </x:c>
      <x:c r="G317" s="17" t="str">
        <x:v>UNREVIEWED</x:v>
      </x:c>
      <x:c r="H317" s="17" t="str"/>
      <x:c r="I317" s="17" t="str"/>
      <x:c r="J317" s="17" t="str"/>
      <x:c r="K317" s="17" t="str"/>
      <x:c r="L317" s="17" t="str"/>
      <x:c r="M317" s="17" t="str">
        <x:v>PENDING WHOLE-VIDEO REVIEW</x:v>
      </x:c>
      <x:c r="N317" s="15" t="n">
        <x:v>140</x:v>
      </x:c>
      <x:c r="O317" s="15" t="n">
        <x:v>912</x:v>
      </x:c>
      <x:c r="P317" s="15" t="n">
        <x:v>296</x:v>
      </x:c>
      <x:c r="Q317" s="13" t="str">
        <x:v>NO_LARGE_TAIL_GAP</x:v>
      </x:c>
      <x:c r="R317" s="13" t="str"/>
      <x:c r="S317" s="16" t="n">
        <x:v>0</x:v>
      </x:c>
      <x:c r="T317" s="13" t="str">
        <x:v>026ecbab6569bbf7e7cb96b57efe4a9351909bf82ee93ec8ab27d08b868c2b60</x:v>
      </x:c>
    </x:row>
    <x:row r="318" ht="15" hidden="0" customHeight="1">
      <x:c r="A318" s="13" t="str">
        <x:v>Rx-JTIPK6OE</x:v>
      </x:c>
      <x:c r="B318" s="13" t="str">
        <x:v>KODK Stock Explodes | Best Stock Picks Today 12-7-20</x:v>
      </x:c>
      <x:c r="C318" s="14" t="d">
        <x:v>2020-12-07T00:00:00.000Z</x:v>
      </x:c>
      <x:c r="D318" s="18" t="e">
        <x:f>HYPERLINK("https://www.youtube.com/watch?v=Rx-JTIPK6OE","Watch video")</x:f>
        <x:v>HYPERLINK is not implemented. linkLocation=https://www.youtube.com/watch?v=Rx-JTIPK6OE, friendlyName=Watch video</x:v>
      </x:c>
      <x:c r="E318" s="18" t="e">
        <x:f>HYPERLINK("transcripts/Rx-JTIPK6OE.html","Complete transcript")</x:f>
        <x:v>HYPERLINK is not implemented. linkLocation=transcripts/Rx-JTIPK6OE.html, friendlyName=Complete transcript</x:v>
      </x:c>
      <x:c r="F318" s="13" t="str">
        <x:v>PETE_EXPLICIT</x:v>
      </x:c>
      <x:c r="G318" s="17" t="str">
        <x:v>UNREVIEWED</x:v>
      </x:c>
      <x:c r="H318" s="17" t="str"/>
      <x:c r="I318" s="17" t="str"/>
      <x:c r="J318" s="17" t="str"/>
      <x:c r="K318" s="17" t="str"/>
      <x:c r="L318" s="17" t="str"/>
      <x:c r="M318" s="17" t="str">
        <x:v>PENDING WHOLE-VIDEO REVIEW</x:v>
      </x:c>
      <x:c r="N318" s="15" t="n">
        <x:v>577</x:v>
      </x:c>
      <x:c r="O318" s="15" t="n">
        <x:v>3683</x:v>
      </x:c>
      <x:c r="P318" s="15" t="n">
        <x:v>1000</x:v>
      </x:c>
      <x:c r="Q318" s="13" t="str">
        <x:v>NO_LARGE_TAIL_GAP</x:v>
      </x:c>
      <x:c r="R318" s="13" t="str"/>
      <x:c r="S318" s="16" t="n">
        <x:v>0</x:v>
      </x:c>
      <x:c r="T318" s="13" t="str">
        <x:v>e89f6483fe7bf105c69c8c5d160c268a6fac9f9aef474ef75fbd533e6f4854e5</x:v>
      </x:c>
    </x:row>
    <x:row r="319" ht="15" hidden="0" customHeight="1">
      <x:c r="A319" s="13" t="str">
        <x:v>RxQOBNBG2gc</x:v>
      </x:c>
      <x:c r="B319" s="13" t="str">
        <x:v>Stocks &amp; Options For Breakfast | Bull Market Breakouts</x:v>
      </x:c>
      <x:c r="C319" s="14" t="d">
        <x:v>2024-01-21T00:00:00.000Z</x:v>
      </x:c>
      <x:c r="D319" s="18" t="e">
        <x:f>HYPERLINK("https://www.youtube.com/watch?v=RxQOBNBG2gc","Watch video")</x:f>
        <x:v>HYPERLINK is not implemented. linkLocation=https://www.youtube.com/watch?v=RxQOBNBG2gc, friendlyName=Watch video</x:v>
      </x:c>
      <x:c r="E319" s="18" t="e">
        <x:f>HYPERLINK("transcripts/RxQOBNBG2gc.html","Complete transcript")</x:f>
        <x:v>HYPERLINK is not implemented. linkLocation=transcripts/RxQOBNBG2gc.html, friendlyName=Complete transcript</x:v>
      </x:c>
      <x:c r="F319" s="13" t="str">
        <x:v>UNKNOWN_REQUIRES_REVIEW</x:v>
      </x:c>
      <x:c r="G319" s="17" t="str">
        <x:v>UNREVIEWED</x:v>
      </x:c>
      <x:c r="H319" s="17" t="str"/>
      <x:c r="I319" s="17" t="str"/>
      <x:c r="J319" s="17" t="str"/>
      <x:c r="K319" s="17" t="str"/>
      <x:c r="L319" s="17" t="str"/>
      <x:c r="M319" s="17" t="str">
        <x:v>PENDING WHOLE-VIDEO REVIEW</x:v>
      </x:c>
      <x:c r="N319" s="15" t="n">
        <x:v>2549</x:v>
      </x:c>
      <x:c r="O319" s="15" t="n">
        <x:v>19222</x:v>
      </x:c>
      <x:c r="P319" s="15" t="n">
        <x:v>5465</x:v>
      </x:c>
      <x:c r="Q319" s="13" t="str">
        <x:v>NO_LARGE_TAIL_GAP</x:v>
      </x:c>
      <x:c r="R319" s="13" t="str"/>
      <x:c r="S319" s="16" t="n">
        <x:v>0</x:v>
      </x:c>
      <x:c r="T319" s="13" t="str">
        <x:v>f78875a46a36f12d6d8c882b87f60c842d044eee98ec4edabfcbe0046b06bd50</x:v>
      </x:c>
    </x:row>
    <x:row r="320" ht="15" hidden="0" customHeight="1">
      <x:c r="A320" s="13" t="str">
        <x:v>S9EejNl_R8s</x:v>
      </x:c>
      <x:c r="B320" s="13" t="str">
        <x:v>Swing Trade Setups That Beat the Market</x:v>
      </x:c>
      <x:c r="C320" s="14" t="d">
        <x:v>2026-05-19T00:00:00.000Z</x:v>
      </x:c>
      <x:c r="D320" s="18" t="e">
        <x:f>HYPERLINK("https://www.youtube.com/watch?v=S9EejNl_R8s","Watch video")</x:f>
        <x:v>HYPERLINK is not implemented. linkLocation=https://www.youtube.com/watch?v=S9EejNl_R8s, friendlyName=Watch video</x:v>
      </x:c>
      <x:c r="E320" s="18" t="e">
        <x:f>HYPERLINK("transcripts/S9EejNl_R8s.html","Complete transcript")</x:f>
        <x:v>HYPERLINK is not implemented. linkLocation=transcripts/S9EejNl_R8s.html, friendlyName=Complete transcript</x:v>
      </x:c>
      <x:c r="F320" s="13" t="str">
        <x:v>UNKNOWN_REQUIRES_REVIEW</x:v>
      </x:c>
      <x:c r="G320" s="17" t="str">
        <x:v>UNREVIEWED</x:v>
      </x:c>
      <x:c r="H320" s="17" t="str"/>
      <x:c r="I320" s="17" t="str"/>
      <x:c r="J320" s="17" t="str"/>
      <x:c r="K320" s="17" t="str"/>
      <x:c r="L320" s="17" t="str"/>
      <x:c r="M320" s="17" t="str">
        <x:v>PENDING WHOLE-VIDEO REVIEW</x:v>
      </x:c>
      <x:c r="N320" s="15" t="n">
        <x:v>310</x:v>
      </x:c>
      <x:c r="O320" s="15" t="n">
        <x:v>1876</x:v>
      </x:c>
      <x:c r="P320" s="15" t="n">
        <x:v>635</x:v>
      </x:c>
      <x:c r="Q320" s="13" t="str">
        <x:v>NO_LARGE_TAIL_GAP</x:v>
      </x:c>
      <x:c r="R320" s="13" t="str"/>
      <x:c r="S320" s="16" t="n">
        <x:v>0</x:v>
      </x:c>
      <x:c r="T320" s="13" t="str">
        <x:v>4b7a1e23689f680a56da12c377bf522e5d8750aa50e52732f5eea27058e4ce33</x:v>
      </x:c>
    </x:row>
    <x:row r="321" ht="15" hidden="0" customHeight="1">
      <x:c r="A321" s="13" t="str">
        <x:v>SJuUBHW6DW4</x:v>
      </x:c>
      <x:c r="B321" s="13" t="str">
        <x:v>BEST STOCKS TO BUY NOW |  2022 EDITION | SECTOR ROTATION STRATEGY</x:v>
      </x:c>
      <x:c r="C321" s="14" t="d">
        <x:v>2022-01-17T00:00:00.000Z</x:v>
      </x:c>
      <x:c r="D321" s="18" t="e">
        <x:f>HYPERLINK("https://www.youtube.com/watch?v=SJuUBHW6DW4","Watch video")</x:f>
        <x:v>HYPERLINK is not implemented. linkLocation=https://www.youtube.com/watch?v=SJuUBHW6DW4, friendlyName=Watch video</x:v>
      </x:c>
      <x:c r="E321" s="18" t="e">
        <x:f>HYPERLINK("transcripts/SJuUBHW6DW4.html","Complete transcript")</x:f>
        <x:v>HYPERLINK is not implemented. linkLocation=transcripts/SJuUBHW6DW4.html, friendlyName=Complete transcript</x:v>
      </x:c>
      <x:c r="F321" s="13" t="str">
        <x:v>PETE_EXPLICIT</x:v>
      </x:c>
      <x:c r="G321" s="17" t="str">
        <x:v>UNREVIEWED</x:v>
      </x:c>
      <x:c r="H321" s="17" t="str"/>
      <x:c r="I321" s="17" t="str"/>
      <x:c r="J321" s="17" t="str"/>
      <x:c r="K321" s="17" t="str"/>
      <x:c r="L321" s="17" t="str"/>
      <x:c r="M321" s="17" t="str">
        <x:v>PENDING WHOLE-VIDEO REVIEW</x:v>
      </x:c>
      <x:c r="N321" s="15" t="n">
        <x:v>376</x:v>
      </x:c>
      <x:c r="O321" s="15" t="n">
        <x:v>2609</x:v>
      </x:c>
      <x:c r="P321" s="15" t="n">
        <x:v>792</x:v>
      </x:c>
      <x:c r="Q321" s="13" t="str">
        <x:v>NO_LARGE_TAIL_GAP</x:v>
      </x:c>
      <x:c r="R321" s="13" t="str"/>
      <x:c r="S321" s="16" t="n">
        <x:v>0</x:v>
      </x:c>
      <x:c r="T321" s="13" t="str">
        <x:v>7e6f16b85bf350727db73d3edeb65b246b265a9bd74e935ab6e9d0f413d2bccd</x:v>
      </x:c>
    </x:row>
    <x:row r="322" ht="15" hidden="0" customHeight="1">
      <x:c r="A322" s="13" t="str">
        <x:v>SQ89epgVTl0</x:v>
      </x:c>
      <x:c r="B322" s="13" t="str">
        <x:v>AAPL KIA Car Talks Stopped | Best Stock Picks Today 2-8-21</x:v>
      </x:c>
      <x:c r="C322" s="14" t="d">
        <x:v>2021-02-08T00:00:00.000Z</x:v>
      </x:c>
      <x:c r="D322" s="18" t="e">
        <x:f>HYPERLINK("https://www.youtube.com/watch?v=SQ89epgVTl0","Watch video")</x:f>
        <x:v>HYPERLINK is not implemented. linkLocation=https://www.youtube.com/watch?v=SQ89epgVTl0, friendlyName=Watch video</x:v>
      </x:c>
      <x:c r="E322" s="18" t="e">
        <x:f>HYPERLINK("transcripts/SQ89epgVTl0.html","Complete transcript")</x:f>
        <x:v>HYPERLINK is not implemented. linkLocation=transcripts/SQ89epgVTl0.html, friendlyName=Complete transcript</x:v>
      </x:c>
      <x:c r="F322" s="13" t="str">
        <x:v>PETE_EXPLICIT</x:v>
      </x:c>
      <x:c r="G322" s="17" t="str">
        <x:v>UNREVIEWED</x:v>
      </x:c>
      <x:c r="H322" s="17" t="str"/>
      <x:c r="I322" s="17" t="str"/>
      <x:c r="J322" s="17" t="str"/>
      <x:c r="K322" s="17" t="str"/>
      <x:c r="L322" s="17" t="str"/>
      <x:c r="M322" s="17" t="str">
        <x:v>PENDING WHOLE-VIDEO REVIEW</x:v>
      </x:c>
      <x:c r="N322" s="15" t="n">
        <x:v>278</x:v>
      </x:c>
      <x:c r="O322" s="15" t="n">
        <x:v>1749</x:v>
      </x:c>
      <x:c r="P322" s="15" t="n">
        <x:v>486</x:v>
      </x:c>
      <x:c r="Q322" s="13" t="str">
        <x:v>NO_LARGE_TAIL_GAP</x:v>
      </x:c>
      <x:c r="R322" s="13" t="str"/>
      <x:c r="S322" s="16" t="n">
        <x:v>0</x:v>
      </x:c>
      <x:c r="T322" s="13" t="str">
        <x:v>14121640283668b8a6a24860d557df90d4ea128a83d48ae6c8ad8e9c71322c28</x:v>
      </x:c>
    </x:row>
    <x:row r="323" ht="15" hidden="0" customHeight="1">
      <x:c r="A323" s="13" t="str">
        <x:v>STJMsyyseJk</x:v>
      </x:c>
      <x:c r="B323" s="13" t="str">
        <x:v>Trading Options: One Simple Income Strategy</x:v>
      </x:c>
      <x:c r="C323" s="14" t="d">
        <x:v>2024-07-11T00:00:00.000Z</x:v>
      </x:c>
      <x:c r="D323" s="18" t="e">
        <x:f>HYPERLINK("https://www.youtube.com/watch?v=STJMsyyseJk","Watch video")</x:f>
        <x:v>HYPERLINK is not implemented. linkLocation=https://www.youtube.com/watch?v=STJMsyyseJk, friendlyName=Watch video</x:v>
      </x:c>
      <x:c r="E323" s="18" t="e">
        <x:f>HYPERLINK("transcripts/STJMsyyseJk.html","Complete transcript")</x:f>
        <x:v>HYPERLINK is not implemented. linkLocation=transcripts/STJMsyyseJk.html, friendlyName=Complete transcript</x:v>
      </x:c>
      <x:c r="F323" s="13" t="str">
        <x:v>UNKNOWN_REQUIRES_REVIEW</x:v>
      </x:c>
      <x:c r="G323" s="17" t="str">
        <x:v>UNREVIEWED</x:v>
      </x:c>
      <x:c r="H323" s="17" t="str"/>
      <x:c r="I323" s="17" t="str"/>
      <x:c r="J323" s="17" t="str"/>
      <x:c r="K323" s="17" t="str"/>
      <x:c r="L323" s="17" t="str"/>
      <x:c r="M323" s="17" t="str">
        <x:v>PENDING WHOLE-VIDEO REVIEW</x:v>
      </x:c>
      <x:c r="N323" s="15" t="n">
        <x:v>260</x:v>
      </x:c>
      <x:c r="O323" s="15" t="n">
        <x:v>1875</x:v>
      </x:c>
      <x:c r="P323" s="15" t="n">
        <x:v>611</x:v>
      </x:c>
      <x:c r="Q323" s="13" t="str">
        <x:v>NO_LARGE_TAIL_GAP</x:v>
      </x:c>
      <x:c r="R323" s="13" t="str"/>
      <x:c r="S323" s="16" t="n">
        <x:v>0</x:v>
      </x:c>
      <x:c r="T323" s="13" t="str">
        <x:v>bca5247347395789d7ace06091cdab9b09de4ce461a6a610945a28c047fde577</x:v>
      </x:c>
    </x:row>
    <x:row r="324" ht="15" hidden="0" customHeight="1">
      <x:c r="A324" s="13" t="str">
        <x:v>SYXWRklk77E</x:v>
      </x:c>
      <x:c r="B324" s="13" t="str">
        <x:v>Pro Stock Trading Tactics | 4 6 20 Stocks for Breakfast</x:v>
      </x:c>
      <x:c r="C324" s="14" t="d">
        <x:v>2020-04-06T00:00:00.000Z</x:v>
      </x:c>
      <x:c r="D324" s="18" t="e">
        <x:f>HYPERLINK("https://www.youtube.com/watch?v=SYXWRklk77E","Watch video")</x:f>
        <x:v>HYPERLINK is not implemented. linkLocation=https://www.youtube.com/watch?v=SYXWRklk77E, friendlyName=Watch video</x:v>
      </x:c>
      <x:c r="E324" s="18" t="e">
        <x:f>HYPERLINK("transcripts/SYXWRklk77E.html","Complete transcript")</x:f>
        <x:v>HYPERLINK is not implemented. linkLocation=transcripts/SYXWRklk77E.html, friendlyName=Complete transcript</x:v>
      </x:c>
      <x:c r="F324" s="13" t="str">
        <x:v>UNKNOWN_REQUIRES_REVIEW</x:v>
      </x:c>
      <x:c r="G324" s="17" t="str">
        <x:v>UNREVIEWED</x:v>
      </x:c>
      <x:c r="H324" s="17" t="str"/>
      <x:c r="I324" s="17" t="str"/>
      <x:c r="J324" s="17" t="str"/>
      <x:c r="K324" s="17" t="str"/>
      <x:c r="L324" s="17" t="str"/>
      <x:c r="M324" s="17" t="str">
        <x:v>PENDING WHOLE-VIDEO REVIEW</x:v>
      </x:c>
      <x:c r="N324" s="15" t="n">
        <x:v>497</x:v>
      </x:c>
      <x:c r="O324" s="15" t="n">
        <x:v>3674</x:v>
      </x:c>
      <x:c r="P324" s="15" t="n">
        <x:v>1091</x:v>
      </x:c>
      <x:c r="Q324" s="13" t="str">
        <x:v>NO_LARGE_TAIL_GAP</x:v>
      </x:c>
      <x:c r="R324" s="13" t="str"/>
      <x:c r="S324" s="16" t="n">
        <x:v>0</x:v>
      </x:c>
      <x:c r="T324" s="13" t="str">
        <x:v>7c52c524387366d5d223384a0163b7269f1f317272a64173132f9d3f19706119</x:v>
      </x:c>
    </x:row>
    <x:row r="325" ht="15" hidden="0" customHeight="1">
      <x:c r="A325" s="13" t="str">
        <x:v>SYsK6OBb5lA</x:v>
      </x:c>
      <x:c r="B325" s="13" t="str">
        <x:v>DKNG Surges Cathie Wood Buys | Best Stock Picks Today 2-1-21</x:v>
      </x:c>
      <x:c r="C325" s="14" t="d">
        <x:v>2021-02-02T00:00:00.000Z</x:v>
      </x:c>
      <x:c r="D325" s="18" t="e">
        <x:f>HYPERLINK("https://www.youtube.com/watch?v=SYsK6OBb5lA","Watch video")</x:f>
        <x:v>HYPERLINK is not implemented. linkLocation=https://www.youtube.com/watch?v=SYsK6OBb5lA, friendlyName=Watch video</x:v>
      </x:c>
      <x:c r="E325" s="18" t="e">
        <x:f>HYPERLINK("transcripts/SYsK6OBb5lA.html","Complete transcript")</x:f>
        <x:v>HYPERLINK is not implemented. linkLocation=transcripts/SYsK6OBb5lA.html, friendlyName=Complete transcript</x:v>
      </x:c>
      <x:c r="F325" s="13" t="str">
        <x:v>PETE_EXPLICIT</x:v>
      </x:c>
      <x:c r="G325" s="17" t="str">
        <x:v>UNREVIEWED</x:v>
      </x:c>
      <x:c r="H325" s="17" t="str"/>
      <x:c r="I325" s="17" t="str"/>
      <x:c r="J325" s="17" t="str"/>
      <x:c r="K325" s="17" t="str"/>
      <x:c r="L325" s="17" t="str"/>
      <x:c r="M325" s="17" t="str">
        <x:v>PENDING WHOLE-VIDEO REVIEW</x:v>
      </x:c>
      <x:c r="N325" s="15" t="n">
        <x:v>342</x:v>
      </x:c>
      <x:c r="O325" s="15" t="n">
        <x:v>2132</x:v>
      </x:c>
      <x:c r="P325" s="15" t="n">
        <x:v>576</x:v>
      </x:c>
      <x:c r="Q325" s="13" t="str">
        <x:v>NO_LARGE_TAIL_GAP</x:v>
      </x:c>
      <x:c r="R325" s="13" t="str"/>
      <x:c r="S325" s="16" t="n">
        <x:v>0</x:v>
      </x:c>
      <x:c r="T325" s="13" t="str">
        <x:v>0ada842452ab7d87b728bac531984fd72d2ec7207c3d91987556de705b0ffa51</x:v>
      </x:c>
    </x:row>
    <x:row r="326" ht="15" hidden="0" customHeight="1">
      <x:c r="A326" s="13" t="str">
        <x:v>Si7wTg4SIW0</x:v>
      </x:c>
      <x:c r="B326" s="13" t="str">
        <x:v>How to Accept a Trading Loss | Pro Trading Advice</x:v>
      </x:c>
      <x:c r="C326" s="14" t="d">
        <x:v>2015-04-22T00:00:00.000Z</x:v>
      </x:c>
      <x:c r="D326" s="18" t="e">
        <x:f>HYPERLINK("https://www.youtube.com/watch?v=Si7wTg4SIW0","Watch video")</x:f>
        <x:v>HYPERLINK is not implemented. linkLocation=https://www.youtube.com/watch?v=Si7wTg4SIW0, friendlyName=Watch video</x:v>
      </x:c>
      <x:c r="E326" s="18" t="e">
        <x:f>HYPERLINK("transcripts/Si7wTg4SIW0.html","Complete transcript")</x:f>
        <x:v>HYPERLINK is not implemented. linkLocation=transcripts/Si7wTg4SIW0.html, friendlyName=Complete transcript</x:v>
      </x:c>
      <x:c r="F326" s="13" t="str">
        <x:v>UNKNOWN_REQUIRES_REVIEW</x:v>
      </x:c>
      <x:c r="G326" s="17" t="str">
        <x:v>UNREVIEWED</x:v>
      </x:c>
      <x:c r="H326" s="17" t="str"/>
      <x:c r="I326" s="17" t="str"/>
      <x:c r="J326" s="17" t="str"/>
      <x:c r="K326" s="17" t="str"/>
      <x:c r="L326" s="17" t="str"/>
      <x:c r="M326" s="17" t="str">
        <x:v>PENDING WHOLE-VIDEO REVIEW</x:v>
      </x:c>
      <x:c r="N326" s="15" t="n">
        <x:v>45</x:v>
      </x:c>
      <x:c r="O326" s="15" t="n">
        <x:v>293</x:v>
      </x:c>
      <x:c r="P326" s="15" t="n">
        <x:v>88</x:v>
      </x:c>
      <x:c r="Q326" s="13" t="str">
        <x:v>NO_LARGE_TAIL_GAP</x:v>
      </x:c>
      <x:c r="R326" s="13" t="str"/>
      <x:c r="S326" s="16" t="n">
        <x:v>0</x:v>
      </x:c>
      <x:c r="T326" s="13" t="str">
        <x:v>3a248b384acb37f181ab49b6340c07b534c63d244b078a6206011d48f0dc1c11</x:v>
      </x:c>
    </x:row>
    <x:row r="327" ht="15" hidden="0" customHeight="1">
      <x:c r="A327" s="13" t="str">
        <x:v>T-N1YLaAwyU</x:v>
      </x:c>
      <x:c r="B327" s="13" t="str">
        <x:v>Stocks for Breakfast | Profitable Trading = Simple Math: Win Loss Percentage</x:v>
      </x:c>
      <x:c r="C327" s="14" t="d">
        <x:v>2021-01-19T00:00:00.000Z</x:v>
      </x:c>
      <x:c r="D327" s="18" t="e">
        <x:f>HYPERLINK("https://www.youtube.com/watch?v=T-N1YLaAwyU","Watch video")</x:f>
        <x:v>HYPERLINK is not implemented. linkLocation=https://www.youtube.com/watch?v=T-N1YLaAwyU, friendlyName=Watch video</x:v>
      </x:c>
      <x:c r="E327" s="18" t="e">
        <x:f>HYPERLINK("transcripts/T-N1YLaAwyU.html","Complete transcript")</x:f>
        <x:v>HYPERLINK is not implemented. linkLocation=transcripts/T-N1YLaAwyU.html, friendlyName=Complete transcript</x:v>
      </x:c>
      <x:c r="F327" s="13" t="str">
        <x:v>PETE_EXPLICIT</x:v>
      </x:c>
      <x:c r="G327" s="17" t="str">
        <x:v>UNREVIEWED</x:v>
      </x:c>
      <x:c r="H327" s="17" t="str"/>
      <x:c r="I327" s="17" t="str"/>
      <x:c r="J327" s="17" t="str"/>
      <x:c r="K327" s="17" t="str"/>
      <x:c r="L327" s="17" t="str"/>
      <x:c r="M327" s="17" t="str">
        <x:v>PENDING WHOLE-VIDEO REVIEW</x:v>
      </x:c>
      <x:c r="N327" s="15" t="n">
        <x:v>303</x:v>
      </x:c>
      <x:c r="O327" s="15" t="n">
        <x:v>1850</x:v>
      </x:c>
      <x:c r="P327" s="15" t="n">
        <x:v>572</x:v>
      </x:c>
      <x:c r="Q327" s="13" t="str">
        <x:v>NO_LARGE_TAIL_GAP</x:v>
      </x:c>
      <x:c r="R327" s="13" t="str"/>
      <x:c r="S327" s="16" t="n">
        <x:v>0</x:v>
      </x:c>
      <x:c r="T327" s="13" t="str">
        <x:v>539c136728ab0985b469d87981504fb4e1bca2dbdaf9a6997fde27248133db84</x:v>
      </x:c>
    </x:row>
    <x:row r="328" ht="15" hidden="0" customHeight="1">
      <x:c r="A328" s="13" t="str">
        <x:v>T123p9bFQIM</x:v>
      </x:c>
      <x:c r="B328" s="13" t="str">
        <x:v>Options Trading Pro: The Greeks and How Major They Are in Options</x:v>
      </x:c>
      <x:c r="C328" s="14" t="d">
        <x:v>2024-07-09T00:00:00.000Z</x:v>
      </x:c>
      <x:c r="D328" s="18" t="e">
        <x:f>HYPERLINK("https://www.youtube.com/watch?v=T123p9bFQIM","Watch video")</x:f>
        <x:v>HYPERLINK is not implemented. linkLocation=https://www.youtube.com/watch?v=T123p9bFQIM, friendlyName=Watch video</x:v>
      </x:c>
      <x:c r="E328" s="18" t="e">
        <x:f>HYPERLINK("transcripts/T123p9bFQIM.html","Complete transcript")</x:f>
        <x:v>HYPERLINK is not implemented. linkLocation=transcripts/T123p9bFQIM.html, friendlyName=Complete transcript</x:v>
      </x:c>
      <x:c r="F328" s="13" t="str">
        <x:v>UNKNOWN_REQUIRES_REVIEW</x:v>
      </x:c>
      <x:c r="G328" s="17" t="str">
        <x:v>UNREVIEWED</x:v>
      </x:c>
      <x:c r="H328" s="17" t="str"/>
      <x:c r="I328" s="17" t="str"/>
      <x:c r="J328" s="17" t="str"/>
      <x:c r="K328" s="17" t="str"/>
      <x:c r="L328" s="17" t="str"/>
      <x:c r="M328" s="17" t="str">
        <x:v>PENDING WHOLE-VIDEO REVIEW</x:v>
      </x:c>
      <x:c r="N328" s="15" t="n">
        <x:v>124</x:v>
      </x:c>
      <x:c r="O328" s="15" t="n">
        <x:v>928</x:v>
      </x:c>
      <x:c r="P328" s="15" t="n">
        <x:v>267</x:v>
      </x:c>
      <x:c r="Q328" s="13" t="str">
        <x:v>NO_LARGE_TAIL_GAP</x:v>
      </x:c>
      <x:c r="R328" s="13" t="str"/>
      <x:c r="S328" s="16" t="n">
        <x:v>0</x:v>
      </x:c>
      <x:c r="T328" s="13" t="str">
        <x:v>174656a10d6fd6d055d532099568f73e46dc722ce2cf6cd101a60c21c6a1ef63</x:v>
      </x:c>
    </x:row>
    <x:row r="329" ht="15" hidden="0" customHeight="1">
      <x:c r="A329" s="13" t="str">
        <x:v>T8JEgoL-yCE</x:v>
      </x:c>
      <x:c r="B329" s="13" t="str">
        <x:v>The Real Advice Every Options Trader Needs To Hear in 2024</x:v>
      </x:c>
      <x:c r="C329" s="14" t="d">
        <x:v>2024-10-19T00:00:00.000Z</x:v>
      </x:c>
      <x:c r="D329" s="18" t="e">
        <x:f>HYPERLINK("https://www.youtube.com/watch?v=T8JEgoL-yCE","Watch video")</x:f>
        <x:v>HYPERLINK is not implemented. linkLocation=https://www.youtube.com/watch?v=T8JEgoL-yCE, friendlyName=Watch video</x:v>
      </x:c>
      <x:c r="E329" s="18" t="e">
        <x:f>HYPERLINK("transcripts/T8JEgoL-yCE.html","Complete transcript")</x:f>
        <x:v>HYPERLINK is not implemented. linkLocation=transcripts/T8JEgoL-yCE.html, friendlyName=Complete transcript</x:v>
      </x:c>
      <x:c r="F329" s="13" t="str">
        <x:v>NON_PETE_EXPLICIT_JOHN</x:v>
      </x:c>
      <x:c r="G329" s="17" t="str">
        <x:v>UNREVIEWED</x:v>
      </x:c>
      <x:c r="H329" s="17" t="str"/>
      <x:c r="I329" s="17" t="str"/>
      <x:c r="J329" s="17" t="str"/>
      <x:c r="K329" s="17" t="str"/>
      <x:c r="L329" s="17" t="str"/>
      <x:c r="M329" s="17" t="str">
        <x:v>PENDING WHOLE-VIDEO REVIEW</x:v>
      </x:c>
      <x:c r="N329" s="15" t="n">
        <x:v>1014</x:v>
      </x:c>
      <x:c r="O329" s="15" t="n">
        <x:v>7389</x:v>
      </x:c>
      <x:c r="P329" s="15" t="n">
        <x:v>2121</x:v>
      </x:c>
      <x:c r="Q329" s="13" t="str">
        <x:v>NO_LARGE_TAIL_GAP</x:v>
      </x:c>
      <x:c r="R329" s="13" t="str"/>
      <x:c r="S329" s="16" t="n">
        <x:v>0</x:v>
      </x:c>
      <x:c r="T329" s="13" t="str">
        <x:v>fca5120470629f66a7f941f0c3fc6f434b0b8162f9b2492720ffef5504d84c0b</x:v>
      </x:c>
    </x:row>
    <x:row r="330" ht="15" hidden="0" customHeight="1">
      <x:c r="A330" s="13" t="str">
        <x:v>T8o5ORFuarI</x:v>
      </x:c>
      <x:c r="B330" s="13" t="str">
        <x:v>Best Stock Picks Today Trump Tweets - How to Trade 10-7-20</x:v>
      </x:c>
      <x:c r="C330" s="14" t="d">
        <x:v>2020-10-07T00:00:00.000Z</x:v>
      </x:c>
      <x:c r="D330" s="18" t="e">
        <x:f>HYPERLINK("https://www.youtube.com/watch?v=T8o5ORFuarI","Watch video")</x:f>
        <x:v>HYPERLINK is not implemented. linkLocation=https://www.youtube.com/watch?v=T8o5ORFuarI, friendlyName=Watch video</x:v>
      </x:c>
      <x:c r="E330" s="18" t="e">
        <x:f>HYPERLINK("transcripts/T8o5ORFuarI.html","Complete transcript")</x:f>
        <x:v>HYPERLINK is not implemented. linkLocation=transcripts/T8o5ORFuarI.html, friendlyName=Complete transcript</x:v>
      </x:c>
      <x:c r="F330" s="13" t="str">
        <x:v>PETE_EXPLICIT</x:v>
      </x:c>
      <x:c r="G330" s="17" t="str">
        <x:v>UNREVIEWED</x:v>
      </x:c>
      <x:c r="H330" s="17" t="str"/>
      <x:c r="I330" s="17" t="str"/>
      <x:c r="J330" s="17" t="str"/>
      <x:c r="K330" s="17" t="str"/>
      <x:c r="L330" s="17" t="str"/>
      <x:c r="M330" s="17" t="str">
        <x:v>PENDING WHOLE-VIDEO REVIEW</x:v>
      </x:c>
      <x:c r="N330" s="15" t="n">
        <x:v>323</x:v>
      </x:c>
      <x:c r="O330" s="15" t="n">
        <x:v>1987</x:v>
      </x:c>
      <x:c r="P330" s="15" t="n">
        <x:v>597</x:v>
      </x:c>
      <x:c r="Q330" s="13" t="str">
        <x:v>NO_LARGE_TAIL_GAP</x:v>
      </x:c>
      <x:c r="R330" s="13" t="str"/>
      <x:c r="S330" s="16" t="n">
        <x:v>0</x:v>
      </x:c>
      <x:c r="T330" s="13" t="str">
        <x:v>2c0d5b0acdb225f74962c11d1c410316e91a1addf31b73153a1c82cbaf7a0ce9</x:v>
      </x:c>
    </x:row>
    <x:row r="331" ht="24" hidden="0" customHeight="1">
      <x:c r="A331" s="13" t="str">
        <x:v>TCgYwLuITAI</x:v>
      </x:c>
      <x:c r="B331" s="13" t="str">
        <x:v>Stock Market Course: Intro to Trading Stocks</x:v>
      </x:c>
      <x:c r="C331" s="14" t="d">
        <x:v>2022-11-01T00:00:00.000Z</x:v>
      </x:c>
      <x:c r="D331" s="18" t="e">
        <x:f>HYPERLINK("https://www.youtube.com/watch?v=TCgYwLuITAI","Watch video")</x:f>
        <x:v>HYPERLINK is not implemented. linkLocation=https://www.youtube.com/watch?v=TCgYwLuITAI, friendlyName=Watch video</x:v>
      </x:c>
      <x:c r="E331" s="18" t="e">
        <x:f>HYPERLINK("transcripts/TCgYwLuITAI.html","Complete transcript")</x:f>
        <x:v>HYPERLINK is not implemented. linkLocation=transcripts/TCgYwLuITAI.html, friendlyName=Complete transcript</x:v>
      </x:c>
      <x:c r="F331" s="13" t="str">
        <x:v>PETE_EXPLICIT</x:v>
      </x:c>
      <x:c r="G331" s="17" t="str">
        <x:v>Course introduction / promotional</x:v>
      </x:c>
      <x:c r="H331" s="17" t="str">
        <x:v>Learning sequence before execution</x:v>
      </x:c>
      <x:c r="I331" s="17" t="str">
        <x:v>Pete lays out mindset, risk, edge/probability, then entries/exits, emphasizing explanation and repetition over copying signals.</x:v>
      </x:c>
      <x:c r="J331" s="17" t="str">
        <x:v>Learning process; risk; edge; execution</x:v>
      </x:c>
      <x:c r="K331" s="17" t="str">
        <x:v>Introduces a longer lesson but available transcript stops as probabilities begin.</x:v>
      </x:c>
      <x:c r="L331" s="17" t="str">
        <x:v>Do not mark promised later instruction as present; validate transcript tail against metadata.</x:v>
      </x:c>
      <x:c r="M331" s="17" t="str">
        <x:v>WHOLE TRANSCRIPT READ — visuals pending</x:v>
      </x:c>
      <x:c r="N331" s="15" t="n">
        <x:v>94</x:v>
      </x:c>
      <x:c r="O331" s="15" t="n">
        <x:v>685</x:v>
      </x:c>
      <x:c r="P331" s="15" t="n">
        <x:v>210</x:v>
      </x:c>
      <x:c r="Q331" s="13" t="str">
        <x:v>NO_LARGE_TAIL_GAP</x:v>
      </x:c>
      <x:c r="R331" s="13" t="str"/>
      <x:c r="S331" s="16" t="n">
        <x:v>3</x:v>
      </x:c>
      <x:c r="T331" s="13" t="str">
        <x:v>7bc19950fbafa6dcdb7fff726f31bdb9142f475dc1414d63fa925adba98e8950</x:v>
      </x:c>
    </x:row>
    <x:row r="332" ht="15" hidden="0" customHeight="1">
      <x:c r="A332" s="13" t="str">
        <x:v>TOqBTh38_3A</x:v>
      </x:c>
      <x:c r="B332" s="13" t="str">
        <x:v>Options Day Trading | What You Need to Know</x:v>
      </x:c>
      <x:c r="C332" s="14" t="d">
        <x:v>2024-07-09T00:00:00.000Z</x:v>
      </x:c>
      <x:c r="D332" s="18" t="e">
        <x:f>HYPERLINK("https://www.youtube.com/watch?v=TOqBTh38_3A","Watch video")</x:f>
        <x:v>HYPERLINK is not implemented. linkLocation=https://www.youtube.com/watch?v=TOqBTh38_3A, friendlyName=Watch video</x:v>
      </x:c>
      <x:c r="E332" s="18" t="e">
        <x:f>HYPERLINK("transcripts/TOqBTh38_3A.html","Complete transcript")</x:f>
        <x:v>HYPERLINK is not implemented. linkLocation=transcripts/TOqBTh38_3A.html, friendlyName=Complete transcript</x:v>
      </x:c>
      <x:c r="F332" s="13" t="str">
        <x:v>NON_PETE_EXPLICIT_JOHN</x:v>
      </x:c>
      <x:c r="G332" s="17" t="str">
        <x:v>UNREVIEWED</x:v>
      </x:c>
      <x:c r="H332" s="17" t="str"/>
      <x:c r="I332" s="17" t="str"/>
      <x:c r="J332" s="17" t="str"/>
      <x:c r="K332" s="17" t="str"/>
      <x:c r="L332" s="17" t="str"/>
      <x:c r="M332" s="17" t="str">
        <x:v>PENDING WHOLE-VIDEO REVIEW</x:v>
      </x:c>
      <x:c r="N332" s="15" t="n">
        <x:v>188</x:v>
      </x:c>
      <x:c r="O332" s="15" t="n">
        <x:v>1377</x:v>
      </x:c>
      <x:c r="P332" s="15" t="n">
        <x:v>428</x:v>
      </x:c>
      <x:c r="Q332" s="13" t="str">
        <x:v>NO_LARGE_TAIL_GAP</x:v>
      </x:c>
      <x:c r="R332" s="13" t="str"/>
      <x:c r="S332" s="16" t="n">
        <x:v>0</x:v>
      </x:c>
      <x:c r="T332" s="13" t="str">
        <x:v>da60fc467caa3e0688b39a4dfb3508b9c80f56653b1fc336fb9a61c460001dbc</x:v>
      </x:c>
    </x:row>
    <x:row r="333" ht="15" hidden="0" customHeight="1">
      <x:c r="A333" s="13" t="str">
        <x:v>TSMgbpyhweo</x:v>
      </x:c>
      <x:c r="B333" s="13" t="str">
        <x:v>How to Set Up Your Trading Screens | Stocks for Breakfast 7-22-20</x:v>
      </x:c>
      <x:c r="C333" s="14" t="d">
        <x:v>2020-07-22T00:00:00.000Z</x:v>
      </x:c>
      <x:c r="D333" s="18" t="e">
        <x:f>HYPERLINK("https://www.youtube.com/watch?v=TSMgbpyhweo","Watch video")</x:f>
        <x:v>HYPERLINK is not implemented. linkLocation=https://www.youtube.com/watch?v=TSMgbpyhweo, friendlyName=Watch video</x:v>
      </x:c>
      <x:c r="E333" s="18" t="e">
        <x:f>HYPERLINK("transcripts/TSMgbpyhweo.html","Complete transcript")</x:f>
        <x:v>HYPERLINK is not implemented. linkLocation=transcripts/TSMgbpyhweo.html, friendlyName=Complete transcript</x:v>
      </x:c>
      <x:c r="F333" s="13" t="str">
        <x:v>PETE_EXPLICIT</x:v>
      </x:c>
      <x:c r="G333" s="17" t="str">
        <x:v>UNREVIEWED</x:v>
      </x:c>
      <x:c r="H333" s="17" t="str"/>
      <x:c r="I333" s="17" t="str"/>
      <x:c r="J333" s="17" t="str"/>
      <x:c r="K333" s="17" t="str"/>
      <x:c r="L333" s="17" t="str"/>
      <x:c r="M333" s="17" t="str">
        <x:v>PENDING WHOLE-VIDEO REVIEW</x:v>
      </x:c>
      <x:c r="N333" s="15" t="n">
        <x:v>577</x:v>
      </x:c>
      <x:c r="O333" s="15" t="n">
        <x:v>3509</x:v>
      </x:c>
      <x:c r="P333" s="15" t="n">
        <x:v>985</x:v>
      </x:c>
      <x:c r="Q333" s="13" t="str">
        <x:v>NO_LARGE_TAIL_GAP</x:v>
      </x:c>
      <x:c r="R333" s="13" t="str"/>
      <x:c r="S333" s="16" t="n">
        <x:v>0</x:v>
      </x:c>
      <x:c r="T333" s="13" t="str">
        <x:v>d4e1a0f75c43c6713956c186630c767a5c48bad834e00485ca3751200be80375</x:v>
      </x:c>
    </x:row>
    <x:row r="334" ht="15" hidden="0" customHeight="1">
      <x:c r="A334" s="13" t="str">
        <x:v>TUQUGKcR1JY</x:v>
      </x:c>
      <x:c r="B334" s="13" t="str">
        <x:v>Head and Shoulders Top | Chart Pattern</x:v>
      </x:c>
      <x:c r="C334" s="14" t="d">
        <x:v>2015-03-25T00:00:00.000Z</x:v>
      </x:c>
      <x:c r="D334" s="18" t="e">
        <x:f>HYPERLINK("https://www.youtube.com/watch?v=TUQUGKcR1JY","Watch video")</x:f>
        <x:v>HYPERLINK is not implemented. linkLocation=https://www.youtube.com/watch?v=TUQUGKcR1JY, friendlyName=Watch video</x:v>
      </x:c>
      <x:c r="E334" s="18" t="e">
        <x:f>HYPERLINK("transcripts/TUQUGKcR1JY.html","Complete transcript")</x:f>
        <x:v>HYPERLINK is not implemented. linkLocation=transcripts/TUQUGKcR1JY.html, friendlyName=Complete transcript</x:v>
      </x:c>
      <x:c r="F334" s="13" t="str">
        <x:v>UNKNOWN_REQUIRES_REVIEW</x:v>
      </x:c>
      <x:c r="G334" s="17" t="str">
        <x:v>UNREVIEWED</x:v>
      </x:c>
      <x:c r="H334" s="17" t="str"/>
      <x:c r="I334" s="17" t="str"/>
      <x:c r="J334" s="17" t="str"/>
      <x:c r="K334" s="17" t="str"/>
      <x:c r="L334" s="17" t="str"/>
      <x:c r="M334" s="17" t="str">
        <x:v>PENDING WHOLE-VIDEO REVIEW</x:v>
      </x:c>
      <x:c r="N334" s="15" t="n">
        <x:v>236</x:v>
      </x:c>
      <x:c r="O334" s="15" t="n">
        <x:v>1672</x:v>
      </x:c>
      <x:c r="P334" s="15" t="n">
        <x:v>499</x:v>
      </x:c>
      <x:c r="Q334" s="13" t="str">
        <x:v>NO_LARGE_TAIL_GAP</x:v>
      </x:c>
      <x:c r="R334" s="13" t="str"/>
      <x:c r="S334" s="16" t="n">
        <x:v>0</x:v>
      </x:c>
      <x:c r="T334" s="13" t="str">
        <x:v>7fa2bcafce893ec5090d5376b73055aca874d88b04ae2932e15167605e781a0e</x:v>
      </x:c>
    </x:row>
    <x:row r="335" ht="15" hidden="0" customHeight="1">
      <x:c r="A335" s="13" t="str">
        <x:v>TaThJfKyeDI</x:v>
      </x:c>
      <x:c r="B335" s="13" t="str">
        <x:v>Buying Support Levels</x:v>
      </x:c>
      <x:c r="C335" s="14" t="d">
        <x:v>2021-01-14T00:00:00.000Z</x:v>
      </x:c>
      <x:c r="D335" s="18" t="e">
        <x:f>HYPERLINK("https://www.youtube.com/watch?v=TaThJfKyeDI","Watch video")</x:f>
        <x:v>HYPERLINK is not implemented. linkLocation=https://www.youtube.com/watch?v=TaThJfKyeDI, friendlyName=Watch video</x:v>
      </x:c>
      <x:c r="E335" s="18" t="e">
        <x:f>HYPERLINK("transcripts/TaThJfKyeDI.html","Complete transcript")</x:f>
        <x:v>HYPERLINK is not implemented. linkLocation=transcripts/TaThJfKyeDI.html, friendlyName=Complete transcript</x:v>
      </x:c>
      <x:c r="F335" s="13" t="str">
        <x:v>PETE_EXPLICIT</x:v>
      </x:c>
      <x:c r="G335" s="17" t="str">
        <x:v>UNREVIEWED</x:v>
      </x:c>
      <x:c r="H335" s="17" t="str"/>
      <x:c r="I335" s="17" t="str"/>
      <x:c r="J335" s="17" t="str"/>
      <x:c r="K335" s="17" t="str"/>
      <x:c r="L335" s="17" t="str"/>
      <x:c r="M335" s="17" t="str">
        <x:v>PENDING WHOLE-VIDEO REVIEW</x:v>
      </x:c>
      <x:c r="N335" s="15" t="n">
        <x:v>35</x:v>
      </x:c>
      <x:c r="O335" s="15" t="n">
        <x:v>2062</x:v>
      </x:c>
      <x:c r="P335" s="15" t="n">
        <x:v>619</x:v>
      </x:c>
      <x:c r="Q335" s="13" t="str">
        <x:v>NO_LARGE_TAIL_GAP</x:v>
      </x:c>
      <x:c r="R335" s="13" t="str"/>
      <x:c r="S335" s="16" t="n">
        <x:v>0</x:v>
      </x:c>
      <x:c r="T335" s="13" t="str">
        <x:v>0d18bf71e1e10c526c22a021ebc117472d1bd5bb295c51bf190a11f47d10b736</x:v>
      </x:c>
    </x:row>
    <x:row r="336" ht="15" hidden="0" customHeight="1">
      <x:c r="A336" s="13" t="str">
        <x:v>TcEXI4W8F30</x:v>
      </x:c>
      <x:c r="B336" s="13" t="str">
        <x:v>Achieve Your Trading Goals with Mentoring</x:v>
      </x:c>
      <x:c r="C336" s="14" t="d">
        <x:v>2015-04-21T00:00:00.000Z</x:v>
      </x:c>
      <x:c r="D336" s="18" t="e">
        <x:f>HYPERLINK("https://www.youtube.com/watch?v=TcEXI4W8F30","Watch video")</x:f>
        <x:v>HYPERLINK is not implemented. linkLocation=https://www.youtube.com/watch?v=TcEXI4W8F30, friendlyName=Watch video</x:v>
      </x:c>
      <x:c r="E336" s="18" t="e">
        <x:f>HYPERLINK("transcripts/TcEXI4W8F30.html","Complete transcript")</x:f>
        <x:v>HYPERLINK is not implemented. linkLocation=transcripts/TcEXI4W8F30.html, friendlyName=Complete transcript</x:v>
      </x:c>
      <x:c r="F336" s="13" t="str">
        <x:v>UNKNOWN_REQUIRES_REVIEW</x:v>
      </x:c>
      <x:c r="G336" s="17" t="str">
        <x:v>Seminar excerpt with teaching</x:v>
      </x:c>
      <x:c r="H336" s="17" t="str">
        <x:v>Adapting trading to conditions and resources</x:v>
      </x:c>
      <x:c r="I336" s="17" t="str">
        <x:v>Near-duplicate presentation linking conditions and resources to planning, exposure and entry quality.</x:v>
      </x:c>
      <x:c r="J336" s="17" t="str">
        <x:v>Trading plan; risk; stock selection; entries; market context</x:v>
      </x:c>
      <x:c r="K336" s="17" t="str">
        <x:v>Retained as a distinct upload but grouped with EMwGgBOPERA for evidence counts.</x:v>
      </x:c>
      <x:c r="L336" s="17" t="str">
        <x:v>Do not count duplicate wording as additional independent support.</x:v>
      </x:c>
      <x:c r="M336" s="17" t="str">
        <x:v>WHOLE TRANSCRIPT READ — visuals pending</x:v>
      </x:c>
      <x:c r="N336" s="15" t="n">
        <x:v>86</x:v>
      </x:c>
      <x:c r="O336" s="15" t="n">
        <x:v>627</x:v>
      </x:c>
      <x:c r="P336" s="15" t="n">
        <x:v>181</x:v>
      </x:c>
      <x:c r="Q336" s="13" t="str">
        <x:v>NO_LARGE_TAIL_GAP</x:v>
      </x:c>
      <x:c r="R336" s="13" t="str">
        <x:v>PROVISIONAL_DUPLICATE_02</x:v>
      </x:c>
      <x:c r="S336" s="16" t="n">
        <x:v>6</x:v>
      </x:c>
      <x:c r="T336" s="13" t="str">
        <x:v>0061869a9ae5522e09953e566646d1fa110f5b4ff9f0bbc238571a06fe21caa3</x:v>
      </x:c>
    </x:row>
    <x:row r="337" ht="15" hidden="0" customHeight="1">
      <x:c r="A337" s="13" t="str">
        <x:v>Tfz9PAx5cTY</x:v>
      </x:c>
      <x:c r="B337" s="13" t="str">
        <x:v>Stock Trading Insight: Is the Stock Market Really Broken?</x:v>
      </x:c>
      <x:c r="C337" s="14" t="d">
        <x:v>2023-03-04T00:00:00.000Z</x:v>
      </x:c>
      <x:c r="D337" s="18" t="e">
        <x:f>HYPERLINK("https://www.youtube.com/watch?v=Tfz9PAx5cTY","Watch video")</x:f>
        <x:v>HYPERLINK is not implemented. linkLocation=https://www.youtube.com/watch?v=Tfz9PAx5cTY, friendlyName=Watch video</x:v>
      </x:c>
      <x:c r="E337" s="18" t="e">
        <x:f>HYPERLINK("transcripts/Tfz9PAx5cTY.html","Complete transcript")</x:f>
        <x:v>HYPERLINK is not implemented. linkLocation=transcripts/Tfz9PAx5cTY.html, friendlyName=Complete transcript</x:v>
      </x:c>
      <x:c r="F337" s="13" t="str">
        <x:v>PETE_EXPLICIT</x:v>
      </x:c>
      <x:c r="G337" s="17" t="str">
        <x:v>UNREVIEWED</x:v>
      </x:c>
      <x:c r="H337" s="17" t="str"/>
      <x:c r="I337" s="17" t="str"/>
      <x:c r="J337" s="17" t="str"/>
      <x:c r="K337" s="17" t="str"/>
      <x:c r="L337" s="17" t="str"/>
      <x:c r="M337" s="17" t="str">
        <x:v>PENDING WHOLE-VIDEO REVIEW</x:v>
      </x:c>
      <x:c r="N337" s="15" t="n">
        <x:v>88</x:v>
      </x:c>
      <x:c r="O337" s="15" t="n">
        <x:v>630</x:v>
      </x:c>
      <x:c r="P337" s="15" t="n">
        <x:v>175</x:v>
      </x:c>
      <x:c r="Q337" s="13" t="str">
        <x:v>NO_LARGE_TAIL_GAP</x:v>
      </x:c>
      <x:c r="R337" s="13" t="str"/>
      <x:c r="S337" s="16" t="n">
        <x:v>2</x:v>
      </x:c>
      <x:c r="T337" s="13" t="str">
        <x:v>7c8800bbc81418acc1bf0f2d3ada7f41e671a56472ccfd5f4cf0bb0065a6ce41</x:v>
      </x:c>
    </x:row>
    <x:row r="338" ht="15" hidden="0" customHeight="1">
      <x:c r="A338" s="13" t="str">
        <x:v>TnxsKT3LkCI</x:v>
      </x:c>
      <x:c r="B338" s="13" t="str">
        <x:v>Options Trading Strategies</x:v>
      </x:c>
      <x:c r="C338" s="14" t="d">
        <x:v>2024-07-09T00:00:00.000Z</x:v>
      </x:c>
      <x:c r="D338" s="18" t="e">
        <x:f>HYPERLINK("https://www.youtube.com/watch?v=TnxsKT3LkCI","Watch video")</x:f>
        <x:v>HYPERLINK is not implemented. linkLocation=https://www.youtube.com/watch?v=TnxsKT3LkCI, friendlyName=Watch video</x:v>
      </x:c>
      <x:c r="E338" s="18" t="e">
        <x:f>HYPERLINK("transcripts/TnxsKT3LkCI.html","Complete transcript")</x:f>
        <x:v>HYPERLINK is not implemented. linkLocation=transcripts/TnxsKT3LkCI.html, friendlyName=Complete transcript</x:v>
      </x:c>
      <x:c r="F338" s="13" t="str">
        <x:v>UNKNOWN_REQUIRES_REVIEW</x:v>
      </x:c>
      <x:c r="G338" s="17" t="str">
        <x:v>UNREVIEWED</x:v>
      </x:c>
      <x:c r="H338" s="17" t="str"/>
      <x:c r="I338" s="17" t="str"/>
      <x:c r="J338" s="17" t="str"/>
      <x:c r="K338" s="17" t="str"/>
      <x:c r="L338" s="17" t="str"/>
      <x:c r="M338" s="17" t="str">
        <x:v>PENDING WHOLE-VIDEO REVIEW</x:v>
      </x:c>
      <x:c r="N338" s="15" t="n">
        <x:v>239</x:v>
      </x:c>
      <x:c r="O338" s="15" t="n">
        <x:v>1731</x:v>
      </x:c>
      <x:c r="P338" s="15" t="n">
        <x:v>553</x:v>
      </x:c>
      <x:c r="Q338" s="13" t="str">
        <x:v>NO_LARGE_TAIL_GAP</x:v>
      </x:c>
      <x:c r="R338" s="13" t="str"/>
      <x:c r="S338" s="16" t="n">
        <x:v>0</x:v>
      </x:c>
      <x:c r="T338" s="13" t="str">
        <x:v>7088fb167f7689e0bc6bc08fd5ba5802b9309772459cb797bf7abbfeac9f2271</x:v>
      </x:c>
    </x:row>
    <x:row r="339" ht="15" hidden="0" customHeight="1">
      <x:c r="A339" s="13" t="str">
        <x:v>ToULqXP8XaQ</x:v>
      </x:c>
      <x:c r="B339" s="13" t="str">
        <x:v>Simple Trading Strategy for Beginners</x:v>
      </x:c>
      <x:c r="C339" s="14" t="d">
        <x:v>2020-07-17T00:00:00.000Z</x:v>
      </x:c>
      <x:c r="D339" s="18" t="e">
        <x:f>HYPERLINK("https://www.youtube.com/watch?v=ToULqXP8XaQ","Watch video")</x:f>
        <x:v>HYPERLINK is not implemented. linkLocation=https://www.youtube.com/watch?v=ToULqXP8XaQ, friendlyName=Watch video</x:v>
      </x:c>
      <x:c r="E339" s="18" t="e">
        <x:f>HYPERLINK("transcripts/ToULqXP8XaQ.html","Complete transcript")</x:f>
        <x:v>HYPERLINK is not implemented. linkLocation=transcripts/ToULqXP8XaQ.html, friendlyName=Complete transcript</x:v>
      </x:c>
      <x:c r="F339" s="13" t="str">
        <x:v>PETE_EXPLICIT</x:v>
      </x:c>
      <x:c r="G339" s="17" t="str">
        <x:v>UNREVIEWED</x:v>
      </x:c>
      <x:c r="H339" s="17" t="str"/>
      <x:c r="I339" s="17" t="str"/>
      <x:c r="J339" s="17" t="str"/>
      <x:c r="K339" s="17" t="str"/>
      <x:c r="L339" s="17" t="str"/>
      <x:c r="M339" s="17" t="str">
        <x:v>PENDING WHOLE-VIDEO REVIEW</x:v>
      </x:c>
      <x:c r="N339" s="15" t="n">
        <x:v>487</x:v>
      </x:c>
      <x:c r="O339" s="15" t="n">
        <x:v>3295</x:v>
      </x:c>
      <x:c r="P339" s="15" t="n">
        <x:v>1028</x:v>
      </x:c>
      <x:c r="Q339" s="13" t="str">
        <x:v>NO_LARGE_TAIL_GAP</x:v>
      </x:c>
      <x:c r="R339" s="13" t="str"/>
      <x:c r="S339" s="16" t="n">
        <x:v>0</x:v>
      </x:c>
      <x:c r="T339" s="13" t="str">
        <x:v>40e99d14ed6d2ceca577870d6f5489876aaff018c4fc8450d531b396aabf1dcc</x:v>
      </x:c>
    </x:row>
    <x:row r="340" ht="15" hidden="0" customHeight="1">
      <x:c r="A340" s="13" t="str">
        <x:v>U27Sfoh0Hak</x:v>
      </x:c>
      <x:c r="B340" s="13" t="str">
        <x:v>Stock Trading  Made Easier | Stocks for Breakfast 7-21-20</x:v>
      </x:c>
      <x:c r="C340" s="14" t="d">
        <x:v>2020-07-21T00:00:00.000Z</x:v>
      </x:c>
      <x:c r="D340" s="18" t="e">
        <x:f>HYPERLINK("https://www.youtube.com/watch?v=U27Sfoh0Hak","Watch video")</x:f>
        <x:v>HYPERLINK is not implemented. linkLocation=https://www.youtube.com/watch?v=U27Sfoh0Hak, friendlyName=Watch video</x:v>
      </x:c>
      <x:c r="E340" s="18" t="e">
        <x:f>HYPERLINK("transcripts/U27Sfoh0Hak.html","Complete transcript")</x:f>
        <x:v>HYPERLINK is not implemented. linkLocation=transcripts/U27Sfoh0Hak.html, friendlyName=Complete transcript</x:v>
      </x:c>
      <x:c r="F340" s="13" t="str">
        <x:v>PETE_EXPLICIT</x:v>
      </x:c>
      <x:c r="G340" s="17" t="str">
        <x:v>UNREVIEWED</x:v>
      </x:c>
      <x:c r="H340" s="17" t="str"/>
      <x:c r="I340" s="17" t="str"/>
      <x:c r="J340" s="17" t="str"/>
      <x:c r="K340" s="17" t="str"/>
      <x:c r="L340" s="17" t="str"/>
      <x:c r="M340" s="17" t="str">
        <x:v>PENDING WHOLE-VIDEO REVIEW</x:v>
      </x:c>
      <x:c r="N340" s="15" t="n">
        <x:v>582</x:v>
      </x:c>
      <x:c r="O340" s="15" t="n">
        <x:v>3564</x:v>
      </x:c>
      <x:c r="P340" s="15" t="n">
        <x:v>1015</x:v>
      </x:c>
      <x:c r="Q340" s="13" t="str">
        <x:v>NO_LARGE_TAIL_GAP</x:v>
      </x:c>
      <x:c r="R340" s="13" t="str"/>
      <x:c r="S340" s="16" t="n">
        <x:v>0</x:v>
      </x:c>
      <x:c r="T340" s="13" t="str">
        <x:v>25bdd7fdeeb5f24c5d10a8c591331531a07b11975d80daad58c43bfd802ff187</x:v>
      </x:c>
    </x:row>
    <x:row r="341" ht="15" hidden="0" customHeight="1">
      <x:c r="A341" s="13" t="str">
        <x:v>ULoy3SlCgpA</x:v>
      </x:c>
      <x:c r="B341" s="13" t="str">
        <x:v>Trading Discipline | Stocks for Breakfast 6-15-20</x:v>
      </x:c>
      <x:c r="C341" s="14" t="d">
        <x:v>2020-06-15T00:00:00.000Z</x:v>
      </x:c>
      <x:c r="D341" s="18" t="e">
        <x:f>HYPERLINK("https://www.youtube.com/watch?v=ULoy3SlCgpA","Watch video")</x:f>
        <x:v>HYPERLINK is not implemented. linkLocation=https://www.youtube.com/watch?v=ULoy3SlCgpA, friendlyName=Watch video</x:v>
      </x:c>
      <x:c r="E341" s="18" t="e">
        <x:f>HYPERLINK("transcripts/ULoy3SlCgpA.html","Complete transcript")</x:f>
        <x:v>HYPERLINK is not implemented. linkLocation=transcripts/ULoy3SlCgpA.html, friendlyName=Complete transcript</x:v>
      </x:c>
      <x:c r="F341" s="13" t="str">
        <x:v>UNKNOWN_REQUIRES_REVIEW</x:v>
      </x:c>
      <x:c r="G341" s="17" t="str">
        <x:v>UNREVIEWED</x:v>
      </x:c>
      <x:c r="H341" s="17" t="str"/>
      <x:c r="I341" s="17" t="str"/>
      <x:c r="J341" s="17" t="str"/>
      <x:c r="K341" s="17" t="str"/>
      <x:c r="L341" s="17" t="str"/>
      <x:c r="M341" s="17" t="str">
        <x:v>PENDING WHOLE-VIDEO REVIEW</x:v>
      </x:c>
      <x:c r="N341" s="15" t="n">
        <x:v>521</x:v>
      </x:c>
      <x:c r="O341" s="15" t="n">
        <x:v>3778</x:v>
      </x:c>
      <x:c r="P341" s="15" t="n">
        <x:v>1123</x:v>
      </x:c>
      <x:c r="Q341" s="13" t="str">
        <x:v>NO_LARGE_TAIL_GAP</x:v>
      </x:c>
      <x:c r="R341" s="13" t="str"/>
      <x:c r="S341" s="16" t="n">
        <x:v>0</x:v>
      </x:c>
      <x:c r="T341" s="13" t="str">
        <x:v>593102953c474da327243546fd048b09972bb9dd61caa85abe4fc7bb05b53aea</x:v>
      </x:c>
    </x:row>
    <x:row r="342" ht="15" hidden="0" customHeight="1">
      <x:c r="A342" s="13" t="str">
        <x:v>UP1krWFGduk</x:v>
      </x:c>
      <x:c r="B342" s="13" t="str">
        <x:v>Swing Trade Game Plan For SBUX Stock</x:v>
      </x:c>
      <x:c r="C342" s="14" t="d">
        <x:v>2025-09-25T00:00:00.000Z</x:v>
      </x:c>
      <x:c r="D342" s="18" t="e">
        <x:f>HYPERLINK("https://www.youtube.com/watch?v=UP1krWFGduk","Watch video")</x:f>
        <x:v>HYPERLINK is not implemented. linkLocation=https://www.youtube.com/watch?v=UP1krWFGduk, friendlyName=Watch video</x:v>
      </x:c>
      <x:c r="E342" s="18" t="e">
        <x:f>HYPERLINK("transcripts/UP1krWFGduk.html","Complete transcript")</x:f>
        <x:v>HYPERLINK is not implemented. linkLocation=transcripts/UP1krWFGduk.html, friendlyName=Complete transcript</x:v>
      </x:c>
      <x:c r="F342" s="13" t="str">
        <x:v>PETE_EXPLICIT</x:v>
      </x:c>
      <x:c r="G342" s="17" t="str">
        <x:v>UNREVIEWED</x:v>
      </x:c>
      <x:c r="H342" s="17" t="str"/>
      <x:c r="I342" s="17" t="str"/>
      <x:c r="J342" s="17" t="str"/>
      <x:c r="K342" s="17" t="str"/>
      <x:c r="L342" s="17" t="str"/>
      <x:c r="M342" s="17" t="str">
        <x:v>PENDING WHOLE-VIDEO REVIEW</x:v>
      </x:c>
      <x:c r="N342" s="15" t="n">
        <x:v>198</x:v>
      </x:c>
      <x:c r="O342" s="15" t="n">
        <x:v>1402</x:v>
      </x:c>
      <x:c r="P342" s="15" t="n">
        <x:v>389</x:v>
      </x:c>
      <x:c r="Q342" s="13" t="str">
        <x:v>NO_LARGE_TAIL_GAP</x:v>
      </x:c>
      <x:c r="R342" s="13" t="str"/>
      <x:c r="S342" s="16" t="n">
        <x:v>0</x:v>
      </x:c>
      <x:c r="T342" s="13" t="str">
        <x:v>5e3226a6880a86b0ce62c0a938ee47ce07f898acb8147173bd68f57842dfa781</x:v>
      </x:c>
    </x:row>
    <x:row r="343" ht="15" hidden="0" customHeight="1">
      <x:c r="A343" s="13" t="str">
        <x:v>URqvC83dipM</x:v>
      </x:c>
      <x:c r="B343" s="13" t="str">
        <x:v>Best Stock Picks Today 5-19-20 | GS Goldman Sachs</x:v>
      </x:c>
      <x:c r="C343" s="14" t="d">
        <x:v>2020-05-19T00:00:00.000Z</x:v>
      </x:c>
      <x:c r="D343" s="18" t="e">
        <x:f>HYPERLINK("https://www.youtube.com/watch?v=URqvC83dipM","Watch video")</x:f>
        <x:v>HYPERLINK is not implemented. linkLocation=https://www.youtube.com/watch?v=URqvC83dipM, friendlyName=Watch video</x:v>
      </x:c>
      <x:c r="E343" s="18" t="e">
        <x:f>HYPERLINK("transcripts/URqvC83dipM.html","Complete transcript")</x:f>
        <x:v>HYPERLINK is not implemented. linkLocation=transcripts/URqvC83dipM.html, friendlyName=Complete transcript</x:v>
      </x:c>
      <x:c r="F343" s="13" t="str">
        <x:v>UNKNOWN_REQUIRES_REVIEW</x:v>
      </x:c>
      <x:c r="G343" s="17" t="str">
        <x:v>UNREVIEWED</x:v>
      </x:c>
      <x:c r="H343" s="17" t="str"/>
      <x:c r="I343" s="17" t="str"/>
      <x:c r="J343" s="17" t="str"/>
      <x:c r="K343" s="17" t="str"/>
      <x:c r="L343" s="17" t="str"/>
      <x:c r="M343" s="17" t="str">
        <x:v>PENDING WHOLE-VIDEO REVIEW</x:v>
      </x:c>
      <x:c r="N343" s="15" t="n">
        <x:v>326</x:v>
      </x:c>
      <x:c r="O343" s="15" t="n">
        <x:v>2389</x:v>
      </x:c>
      <x:c r="P343" s="15" t="n">
        <x:v>697</x:v>
      </x:c>
      <x:c r="Q343" s="13" t="str">
        <x:v>NO_LARGE_TAIL_GAP</x:v>
      </x:c>
      <x:c r="R343" s="13" t="str"/>
      <x:c r="S343" s="16" t="n">
        <x:v>0</x:v>
      </x:c>
      <x:c r="T343" s="13" t="str">
        <x:v>44ff65da82081356682482c137fc69d4fb922f3899db8cff7ddb7a8b598b9ddc</x:v>
      </x:c>
    </x:row>
    <x:row r="344" ht="15" hidden="0" customHeight="1">
      <x:c r="A344" s="13" t="str">
        <x:v>USYyppTrDkU</x:v>
      </x:c>
      <x:c r="B344" s="13" t="str">
        <x:v>How to Improve as a Trader | Trading Seminar</x:v>
      </x:c>
      <x:c r="C344" s="14" t="d">
        <x:v>2015-04-22T00:00:00.000Z</x:v>
      </x:c>
      <x:c r="D344" s="18" t="e">
        <x:f>HYPERLINK("https://www.youtube.com/watch?v=USYyppTrDkU","Watch video")</x:f>
        <x:v>HYPERLINK is not implemented. linkLocation=https://www.youtube.com/watch?v=USYyppTrDkU, friendlyName=Watch video</x:v>
      </x:c>
      <x:c r="E344" s="18" t="e">
        <x:f>HYPERLINK("transcripts/USYyppTrDkU.html","Complete transcript")</x:f>
        <x:v>HYPERLINK is not implemented. linkLocation=transcripts/USYyppTrDkU.html, friendlyName=Complete transcript</x:v>
      </x:c>
      <x:c r="F344" s="13" t="str">
        <x:v>UNKNOWN_REQUIRES_REVIEW</x:v>
      </x:c>
      <x:c r="G344" s="17" t="str">
        <x:v>Seminar excerpt with teaching</x:v>
      </x:c>
      <x:c r="H344" s="17" t="str">
        <x:v>Feedback in trader development</x:v>
      </x:c>
      <x:c r="I344" s="17" t="str">
        <x:v>Separates effort from learning through attention to what works and what does not.</x:v>
      </x:c>
      <x:c r="J344" s="17" t="str">
        <x:v>Review and learning; mentoring</x:v>
      </x:c>
      <x:c r="K344" s="17" t="str">
        <x:v>Personal anecdote and mentoring presentation support a narrow feedback principle.</x:v>
      </x:c>
      <x:c r="L344" s="17" t="str">
        <x:v>The trader-path sequence is introduced but not developed in this fragment.</x:v>
      </x:c>
      <x:c r="M344" s="17" t="str">
        <x:v>WHOLE TRANSCRIPT READ — visuals pending</x:v>
      </x:c>
      <x:c r="N344" s="15" t="n">
        <x:v>42</x:v>
      </x:c>
      <x:c r="O344" s="15" t="n">
        <x:v>269</x:v>
      </x:c>
      <x:c r="P344" s="15" t="n">
        <x:v>80</x:v>
      </x:c>
      <x:c r="Q344" s="13" t="str">
        <x:v>NO_LARGE_TAIL_GAP</x:v>
      </x:c>
      <x:c r="R344" s="13" t="str"/>
      <x:c r="S344" s="16" t="n">
        <x:v>1</x:v>
      </x:c>
      <x:c r="T344" s="13" t="str">
        <x:v>7754bf5949fb3994496c789d159239725622d60c8d17a7b3cfc3b135fa24d23d</x:v>
      </x:c>
    </x:row>
    <x:row r="345" ht="15" hidden="0" customHeight="1">
      <x:c r="A345" s="13" t="str">
        <x:v>UWjHOioxzq0</x:v>
      </x:c>
      <x:c r="B345" s="13" t="str">
        <x:v>BA 737  News Trade | Best Stock Picks Today 11-18-20</x:v>
      </x:c>
      <x:c r="C345" s="14" t="d">
        <x:v>2020-11-18T00:00:00.000Z</x:v>
      </x:c>
      <x:c r="D345" s="18" t="e">
        <x:f>HYPERLINK("https://www.youtube.com/watch?v=UWjHOioxzq0","Watch video")</x:f>
        <x:v>HYPERLINK is not implemented. linkLocation=https://www.youtube.com/watch?v=UWjHOioxzq0, friendlyName=Watch video</x:v>
      </x:c>
      <x:c r="E345" s="18" t="e">
        <x:f>HYPERLINK("transcripts/UWjHOioxzq0.html","Complete transcript")</x:f>
        <x:v>HYPERLINK is not implemented. linkLocation=transcripts/UWjHOioxzq0.html, friendlyName=Complete transcript</x:v>
      </x:c>
      <x:c r="F345" s="13" t="str">
        <x:v>PETE_EXPLICIT</x:v>
      </x:c>
      <x:c r="G345" s="17" t="str">
        <x:v>UNREVIEWED</x:v>
      </x:c>
      <x:c r="H345" s="17" t="str"/>
      <x:c r="I345" s="17" t="str"/>
      <x:c r="J345" s="17" t="str"/>
      <x:c r="K345" s="17" t="str"/>
      <x:c r="L345" s="17" t="str"/>
      <x:c r="M345" s="17" t="str">
        <x:v>PENDING WHOLE-VIDEO REVIEW</x:v>
      </x:c>
      <x:c r="N345" s="15" t="n">
        <x:v>526</x:v>
      </x:c>
      <x:c r="O345" s="15" t="n">
        <x:v>3304</x:v>
      </x:c>
      <x:c r="P345" s="15" t="n">
        <x:v>912</x:v>
      </x:c>
      <x:c r="Q345" s="13" t="str">
        <x:v>NO_LARGE_TAIL_GAP</x:v>
      </x:c>
      <x:c r="R345" s="13" t="str"/>
      <x:c r="S345" s="16" t="n">
        <x:v>0</x:v>
      </x:c>
      <x:c r="T345" s="13" t="str">
        <x:v>e77672c720e1a63f7476ef65292ebb98f32113bad71085a1d9d3f220e88240ce</x:v>
      </x:c>
    </x:row>
    <x:row r="346" ht="15" hidden="0" customHeight="1">
      <x:c r="A346" s="13" t="str">
        <x:v>UihQ31If12g</x:v>
      </x:c>
      <x:c r="B346" s="13" t="str">
        <x:v>9: Sector Rotation: Finviz Stock Screener</x:v>
      </x:c>
      <x:c r="C346" s="14" t="d">
        <x:v>2022-11-01T00:00:00.000Z</x:v>
      </x:c>
      <x:c r="D346" s="18" t="e">
        <x:f>HYPERLINK("https://www.youtube.com/watch?v=UihQ31If12g","Watch video")</x:f>
        <x:v>HYPERLINK is not implemented. linkLocation=https://www.youtube.com/watch?v=UihQ31If12g, friendlyName=Watch video</x:v>
      </x:c>
      <x:c r="E346" s="18" t="e">
        <x:f>HYPERLINK("transcripts/UihQ31If12g.html","Complete transcript")</x:f>
        <x:v>HYPERLINK is not implemented. linkLocation=transcripts/UihQ31If12g.html, friendlyName=Complete transcript</x:v>
      </x:c>
      <x:c r="F346" s="13" t="str">
        <x:v>UNKNOWN_REQUIRES_REVIEW</x:v>
      </x:c>
      <x:c r="G346" s="17" t="str">
        <x:v>UNREVIEWED</x:v>
      </x:c>
      <x:c r="H346" s="17" t="str"/>
      <x:c r="I346" s="17" t="str"/>
      <x:c r="J346" s="17" t="str"/>
      <x:c r="K346" s="17" t="str"/>
      <x:c r="L346" s="17" t="str"/>
      <x:c r="M346" s="17" t="str">
        <x:v>PENDING WHOLE-VIDEO REVIEW</x:v>
      </x:c>
      <x:c r="N346" s="15" t="n">
        <x:v>70</x:v>
      </x:c>
      <x:c r="O346" s="15" t="n">
        <x:v>480</x:v>
      </x:c>
      <x:c r="P346" s="15" t="n">
        <x:v>136</x:v>
      </x:c>
      <x:c r="Q346" s="13" t="str">
        <x:v>NO_LARGE_TAIL_GAP</x:v>
      </x:c>
      <x:c r="R346" s="13" t="str"/>
      <x:c r="S346" s="16" t="n">
        <x:v>0</x:v>
      </x:c>
      <x:c r="T346" s="13" t="str">
        <x:v>119930ebffe6c22cff0e5c8d0d9f5fe17c6ed88d8dd2274b4b816ee98a1e7980</x:v>
      </x:c>
    </x:row>
    <x:row r="347" ht="15" hidden="0" customHeight="1">
      <x:c r="A347" s="13" t="str">
        <x:v>UjfkXMLlDPI</x:v>
      </x:c>
      <x:c r="B347" s="13" t="str">
        <x:v>Best Stock Picks Today | AMC Short Squeeze Coming? 2-1 21</x:v>
      </x:c>
      <x:c r="C347" s="14" t="d">
        <x:v>2021-02-01T00:00:00.000Z</x:v>
      </x:c>
      <x:c r="D347" s="18" t="e">
        <x:f>HYPERLINK("https://www.youtube.com/watch?v=UjfkXMLlDPI","Watch video")</x:f>
        <x:v>HYPERLINK is not implemented. linkLocation=https://www.youtube.com/watch?v=UjfkXMLlDPI, friendlyName=Watch video</x:v>
      </x:c>
      <x:c r="E347" s="18" t="e">
        <x:f>HYPERLINK("transcripts/UjfkXMLlDPI.html","Complete transcript")</x:f>
        <x:v>HYPERLINK is not implemented. linkLocation=transcripts/UjfkXMLlDPI.html, friendlyName=Complete transcript</x:v>
      </x:c>
      <x:c r="F347" s="13" t="str">
        <x:v>PETE_EXPLICIT</x:v>
      </x:c>
      <x:c r="G347" s="17" t="str">
        <x:v>UNREVIEWED</x:v>
      </x:c>
      <x:c r="H347" s="17" t="str"/>
      <x:c r="I347" s="17" t="str"/>
      <x:c r="J347" s="17" t="str"/>
      <x:c r="K347" s="17" t="str"/>
      <x:c r="L347" s="17" t="str"/>
      <x:c r="M347" s="17" t="str">
        <x:v>PENDING WHOLE-VIDEO REVIEW</x:v>
      </x:c>
      <x:c r="N347" s="15" t="n">
        <x:v>431</x:v>
      </x:c>
      <x:c r="O347" s="15" t="n">
        <x:v>2689</x:v>
      </x:c>
      <x:c r="P347" s="15" t="n">
        <x:v>744</x:v>
      </x:c>
      <x:c r="Q347" s="13" t="str">
        <x:v>NO_LARGE_TAIL_GAP</x:v>
      </x:c>
      <x:c r="R347" s="13" t="str"/>
      <x:c r="S347" s="16" t="n">
        <x:v>0</x:v>
      </x:c>
      <x:c r="T347" s="13" t="str">
        <x:v>a30f889b743e8da99fc9f2be900228120182f9f1d9a295c9b91ad803abaf69e0</x:v>
      </x:c>
    </x:row>
    <x:row r="348" ht="15" hidden="0" customHeight="1">
      <x:c r="A348" s="13" t="str">
        <x:v>UnmdrMvmXhk</x:v>
      </x:c>
      <x:c r="B348" s="13" t="str">
        <x:v>How to Draw Trend Lines for Winning Trades</x:v>
      </x:c>
      <x:c r="C348" s="14" t="d">
        <x:v>2020-07-20T00:00:00.000Z</x:v>
      </x:c>
      <x:c r="D348" s="18" t="e">
        <x:f>HYPERLINK("https://www.youtube.com/watch?v=UnmdrMvmXhk","Watch video")</x:f>
        <x:v>HYPERLINK is not implemented. linkLocation=https://www.youtube.com/watch?v=UnmdrMvmXhk, friendlyName=Watch video</x:v>
      </x:c>
      <x:c r="E348" s="18" t="e">
        <x:f>HYPERLINK("transcripts/UnmdrMvmXhk.html","Complete transcript")</x:f>
        <x:v>HYPERLINK is not implemented. linkLocation=transcripts/UnmdrMvmXhk.html, friendlyName=Complete transcript</x:v>
      </x:c>
      <x:c r="F348" s="13" t="str">
        <x:v>PETE_EXPLICIT</x:v>
      </x:c>
      <x:c r="G348" s="17" t="str">
        <x:v>UNREVIEWED</x:v>
      </x:c>
      <x:c r="H348" s="17" t="str"/>
      <x:c r="I348" s="17" t="str"/>
      <x:c r="J348" s="17" t="str"/>
      <x:c r="K348" s="17" t="str"/>
      <x:c r="L348" s="17" t="str"/>
      <x:c r="M348" s="17" t="str">
        <x:v>PENDING WHOLE-VIDEO REVIEW</x:v>
      </x:c>
      <x:c r="N348" s="15" t="n">
        <x:v>416</x:v>
      </x:c>
      <x:c r="O348" s="15" t="n">
        <x:v>3033</x:v>
      </x:c>
      <x:c r="P348" s="15" t="n">
        <x:v>859</x:v>
      </x:c>
      <x:c r="Q348" s="13" t="str">
        <x:v>NO_LARGE_TAIL_GAP</x:v>
      </x:c>
      <x:c r="R348" s="13" t="str"/>
      <x:c r="S348" s="16" t="n">
        <x:v>0</x:v>
      </x:c>
      <x:c r="T348" s="13" t="str">
        <x:v>6e49a767e09172f0340ecb70da77987d7807afcabc9ece1d25ab0cc414932336</x:v>
      </x:c>
    </x:row>
    <x:row r="349" ht="15" hidden="0" customHeight="1">
      <x:c r="A349" s="13" t="str">
        <x:v>UsYQFa7dAno</x:v>
      </x:c>
      <x:c r="B349" s="13" t="str">
        <x:v>GRPN Groupon Swing Trade | Best Stock Picks Today  12-9-20</x:v>
      </x:c>
      <x:c r="C349" s="14" t="d">
        <x:v>2020-12-09T00:00:00.000Z</x:v>
      </x:c>
      <x:c r="D349" s="18" t="e">
        <x:f>HYPERLINK("https://www.youtube.com/watch?v=UsYQFa7dAno","Watch video")</x:f>
        <x:v>HYPERLINK is not implemented. linkLocation=https://www.youtube.com/watch?v=UsYQFa7dAno, friendlyName=Watch video</x:v>
      </x:c>
      <x:c r="E349" s="18" t="e">
        <x:f>HYPERLINK("transcripts/UsYQFa7dAno.html","Complete transcript")</x:f>
        <x:v>HYPERLINK is not implemented. linkLocation=transcripts/UsYQFa7dAno.html, friendlyName=Complete transcript</x:v>
      </x:c>
      <x:c r="F349" s="13" t="str">
        <x:v>PETE_EXPLICIT</x:v>
      </x:c>
      <x:c r="G349" s="17" t="str">
        <x:v>UNREVIEWED</x:v>
      </x:c>
      <x:c r="H349" s="17" t="str"/>
      <x:c r="I349" s="17" t="str"/>
      <x:c r="J349" s="17" t="str"/>
      <x:c r="K349" s="17" t="str"/>
      <x:c r="L349" s="17" t="str"/>
      <x:c r="M349" s="17" t="str">
        <x:v>PENDING WHOLE-VIDEO REVIEW</x:v>
      </x:c>
      <x:c r="N349" s="15" t="n">
        <x:v>584</x:v>
      </x:c>
      <x:c r="O349" s="15" t="n">
        <x:v>3725</x:v>
      </x:c>
      <x:c r="P349" s="15" t="n">
        <x:v>1030</x:v>
      </x:c>
      <x:c r="Q349" s="13" t="str">
        <x:v>NO_LARGE_TAIL_GAP</x:v>
      </x:c>
      <x:c r="R349" s="13" t="str"/>
      <x:c r="S349" s="16" t="n">
        <x:v>0</x:v>
      </x:c>
      <x:c r="T349" s="13" t="str">
        <x:v>f48a00f1756d2cb0b0986fa8807e57ae5d9e16fdc5ba6129315a88719b69bdb5</x:v>
      </x:c>
    </x:row>
    <x:row r="350" ht="15" hidden="0" customHeight="1">
      <x:c r="A350" s="13" t="str">
        <x:v>V3p4DgfNLvY</x:v>
      </x:c>
      <x:c r="B350" s="13" t="str">
        <x:v>The PDT Rule Is Dead: What Every Retail Trader Needs to Know Before June 4th</x:v>
      </x:c>
      <x:c r="C350" s="14" t="d">
        <x:v>2026-05-11T00:00:00.000Z</x:v>
      </x:c>
      <x:c r="D350" s="18" t="e">
        <x:f>HYPERLINK("https://www.youtube.com/watch?v=V3p4DgfNLvY","Watch video")</x:f>
        <x:v>HYPERLINK is not implemented. linkLocation=https://www.youtube.com/watch?v=V3p4DgfNLvY, friendlyName=Watch video</x:v>
      </x:c>
      <x:c r="E350" s="18" t="e">
        <x:f>HYPERLINK("transcripts/V3p4DgfNLvY.html","Complete transcript")</x:f>
        <x:v>HYPERLINK is not implemented. linkLocation=transcripts/V3p4DgfNLvY.html, friendlyName=Complete transcript</x:v>
      </x:c>
      <x:c r="F350" s="13" t="str">
        <x:v>UNKNOWN_REQUIRES_REVIEW</x:v>
      </x:c>
      <x:c r="G350" s="17" t="str">
        <x:v>UNREVIEWED</x:v>
      </x:c>
      <x:c r="H350" s="17" t="str"/>
      <x:c r="I350" s="17" t="str"/>
      <x:c r="J350" s="17" t="str"/>
      <x:c r="K350" s="17" t="str"/>
      <x:c r="L350" s="17" t="str"/>
      <x:c r="M350" s="17" t="str">
        <x:v>PENDING WHOLE-VIDEO REVIEW</x:v>
      </x:c>
      <x:c r="N350" s="15" t="n">
        <x:v>241</x:v>
      </x:c>
      <x:c r="O350" s="15" t="n">
        <x:v>1363</x:v>
      </x:c>
      <x:c r="P350" s="15" t="n">
        <x:v>481</x:v>
      </x:c>
      <x:c r="Q350" s="13" t="str">
        <x:v>NO_LARGE_TAIL_GAP</x:v>
      </x:c>
      <x:c r="R350" s="13" t="str"/>
      <x:c r="S350" s="16" t="n">
        <x:v>0</x:v>
      </x:c>
      <x:c r="T350" s="13" t="str">
        <x:v>8b8119613f531c4ecdcbf3e71fb4110fb706c9bfff0ace4fdf74c4bf12965f1b</x:v>
      </x:c>
    </x:row>
    <x:row r="351" ht="15" hidden="0" customHeight="1">
      <x:c r="A351" s="13" t="str">
        <x:v>V4y8CnWTd9s</x:v>
      </x:c>
      <x:c r="B351" s="13" t="str">
        <x:v>Stock Trading Mentorship | Tested Trading Methods</x:v>
      </x:c>
      <x:c r="C351" s="14" t="d">
        <x:v>2021-02-08T00:00:00.000Z</x:v>
      </x:c>
      <x:c r="D351" s="18" t="e">
        <x:f>HYPERLINK("https://www.youtube.com/watch?v=V4y8CnWTd9s","Watch video")</x:f>
        <x:v>HYPERLINK is not implemented. linkLocation=https://www.youtube.com/watch?v=V4y8CnWTd9s, friendlyName=Watch video</x:v>
      </x:c>
      <x:c r="E351" s="18" t="e">
        <x:f>HYPERLINK("transcripts/V4y8CnWTd9s.html","Complete transcript")</x:f>
        <x:v>HYPERLINK is not implemented. linkLocation=transcripts/V4y8CnWTd9s.html, friendlyName=Complete transcript</x:v>
      </x:c>
      <x:c r="F351" s="13" t="str">
        <x:v>PETE_EXPLICIT</x:v>
      </x:c>
      <x:c r="G351" s="17" t="str">
        <x:v>UNREVIEWED</x:v>
      </x:c>
      <x:c r="H351" s="17" t="str"/>
      <x:c r="I351" s="17" t="str"/>
      <x:c r="J351" s="17" t="str"/>
      <x:c r="K351" s="17" t="str"/>
      <x:c r="L351" s="17" t="str"/>
      <x:c r="M351" s="17" t="str">
        <x:v>PENDING WHOLE-VIDEO REVIEW</x:v>
      </x:c>
      <x:c r="N351" s="15" t="n">
        <x:v>414</x:v>
      </x:c>
      <x:c r="O351" s="15" t="n">
        <x:v>2436</x:v>
      </x:c>
      <x:c r="P351" s="15" t="n">
        <x:v>758</x:v>
      </x:c>
      <x:c r="Q351" s="13" t="str">
        <x:v>NO_LARGE_TAIL_GAP</x:v>
      </x:c>
      <x:c r="R351" s="13" t="str"/>
      <x:c r="S351" s="16" t="n">
        <x:v>0</x:v>
      </x:c>
      <x:c r="T351" s="13" t="str">
        <x:v>e019df28d4874c31acd943f03968a4fa7b7503d0cfdd24dd88e637e8d4e1efd2</x:v>
      </x:c>
    </x:row>
    <x:row r="352" ht="15" hidden="0" customHeight="1">
      <x:c r="A352" s="13" t="str">
        <x:v>V9aAInTLD_w</x:v>
      </x:c>
      <x:c r="B352" s="13" t="str">
        <x:v>Best Stock Picks 4-15-20</x:v>
      </x:c>
      <x:c r="C352" s="14" t="d">
        <x:v>2020-04-14T00:00:00.000Z</x:v>
      </x:c>
      <x:c r="D352" s="18" t="e">
        <x:f>HYPERLINK("https://www.youtube.com/watch?v=V9aAInTLD_w","Watch video")</x:f>
        <x:v>HYPERLINK is not implemented. linkLocation=https://www.youtube.com/watch?v=V9aAInTLD_w, friendlyName=Watch video</x:v>
      </x:c>
      <x:c r="E352" s="18" t="e">
        <x:f>HYPERLINK("transcripts/V9aAInTLD_w.html","Complete transcript")</x:f>
        <x:v>HYPERLINK is not implemented. linkLocation=transcripts/V9aAInTLD_w.html, friendlyName=Complete transcript</x:v>
      </x:c>
      <x:c r="F352" s="13" t="str">
        <x:v>UNKNOWN_REQUIRES_REVIEW</x:v>
      </x:c>
      <x:c r="G352" s="17" t="str">
        <x:v>UNREVIEWED</x:v>
      </x:c>
      <x:c r="H352" s="17" t="str"/>
      <x:c r="I352" s="17" t="str"/>
      <x:c r="J352" s="17" t="str"/>
      <x:c r="K352" s="17" t="str"/>
      <x:c r="L352" s="17" t="str"/>
      <x:c r="M352" s="17" t="str">
        <x:v>PENDING WHOLE-VIDEO REVIEW</x:v>
      </x:c>
      <x:c r="N352" s="15" t="n">
        <x:v>705</x:v>
      </x:c>
      <x:c r="O352" s="15" t="n">
        <x:v>5146</x:v>
      </x:c>
      <x:c r="P352" s="15" t="n">
        <x:v>1488</x:v>
      </x:c>
      <x:c r="Q352" s="13" t="str">
        <x:v>NO_LARGE_TAIL_GAP</x:v>
      </x:c>
      <x:c r="R352" s="13" t="str"/>
      <x:c r="S352" s="16" t="n">
        <x:v>0</x:v>
      </x:c>
      <x:c r="T352" s="13" t="str">
        <x:v>39ae6c3554b3ded163878596e9670de75108083fbfa67c1b0deaaf7cfced015e</x:v>
      </x:c>
    </x:row>
    <x:row r="353" ht="15" hidden="0" customHeight="1">
      <x:c r="A353" s="13" t="str">
        <x:v>V9b4tVxReE4</x:v>
      </x:c>
      <x:c r="B353" s="13" t="str">
        <x:v>Daily Ticker Podcast: Undervalued Stocks With David Trainer</x:v>
      </x:c>
      <x:c r="C353" s="14" t="d">
        <x:v>2023-06-22T00:00:00.000Z</x:v>
      </x:c>
      <x:c r="D353" s="18" t="e">
        <x:f>HYPERLINK("https://www.youtube.com/watch?v=V9b4tVxReE4","Watch video")</x:f>
        <x:v>HYPERLINK is not implemented. linkLocation=https://www.youtube.com/watch?v=V9b4tVxReE4, friendlyName=Watch video</x:v>
      </x:c>
      <x:c r="E353" s="18" t="e">
        <x:f>HYPERLINK("transcripts/V9b4tVxReE4.html","Complete transcript")</x:f>
        <x:v>HYPERLINK is not implemented. linkLocation=transcripts/V9b4tVxReE4.html, friendlyName=Complete transcript</x:v>
      </x:c>
      <x:c r="F353" s="13" t="str">
        <x:v>GUEST_OR_INTERVIEW</x:v>
      </x:c>
      <x:c r="G353" s="17" t="str">
        <x:v>UNREVIEWED</x:v>
      </x:c>
      <x:c r="H353" s="17" t="str"/>
      <x:c r="I353" s="17" t="str"/>
      <x:c r="J353" s="17" t="str"/>
      <x:c r="K353" s="17" t="str"/>
      <x:c r="L353" s="17" t="str"/>
      <x:c r="M353" s="17" t="str">
        <x:v>PENDING WHOLE-VIDEO REVIEW</x:v>
      </x:c>
      <x:c r="N353" s="15" t="n">
        <x:v>803</x:v>
      </x:c>
      <x:c r="O353" s="15" t="n">
        <x:v>5618</x:v>
      </x:c>
      <x:c r="P353" s="15" t="n">
        <x:v>1666</x:v>
      </x:c>
      <x:c r="Q353" s="13" t="str">
        <x:v>NO_LARGE_TAIL_GAP</x:v>
      </x:c>
      <x:c r="R353" s="13" t="str"/>
      <x:c r="S353" s="16" t="n">
        <x:v>0</x:v>
      </x:c>
      <x:c r="T353" s="13" t="str">
        <x:v>1138f74a8084c886de6cf8206a9efc68e3a71f41e1796a17939044867e22de74</x:v>
      </x:c>
    </x:row>
    <x:row r="354" ht="15" hidden="0" customHeight="1">
      <x:c r="A354" s="13" t="str">
        <x:v>VF-QFz51tHg</x:v>
      </x:c>
      <x:c r="B354" s="13" t="str">
        <x:v>Best Stock Picks 3 30 20 Monday</x:v>
      </x:c>
      <x:c r="C354" s="14" t="d">
        <x:v>2020-03-29T00:00:00.000Z</x:v>
      </x:c>
      <x:c r="D354" s="18" t="e">
        <x:f>HYPERLINK("https://www.youtube.com/watch?v=VF-QFz51tHg","Watch video")</x:f>
        <x:v>HYPERLINK is not implemented. linkLocation=https://www.youtube.com/watch?v=VF-QFz51tHg, friendlyName=Watch video</x:v>
      </x:c>
      <x:c r="E354" s="18" t="e">
        <x:f>HYPERLINK("transcripts/VF-QFz51tHg.html","Complete transcript")</x:f>
        <x:v>HYPERLINK is not implemented. linkLocation=transcripts/VF-QFz51tHg.html, friendlyName=Complete transcript</x:v>
      </x:c>
      <x:c r="F354" s="13" t="str">
        <x:v>PETE_EXPLICIT</x:v>
      </x:c>
      <x:c r="G354" s="17" t="str">
        <x:v>UNREVIEWED</x:v>
      </x:c>
      <x:c r="H354" s="17" t="str"/>
      <x:c r="I354" s="17" t="str"/>
      <x:c r="J354" s="17" t="str"/>
      <x:c r="K354" s="17" t="str"/>
      <x:c r="L354" s="17" t="str"/>
      <x:c r="M354" s="17" t="str">
        <x:v>PENDING WHOLE-VIDEO REVIEW</x:v>
      </x:c>
      <x:c r="N354" s="15" t="n">
        <x:v>299</x:v>
      </x:c>
      <x:c r="O354" s="15" t="n">
        <x:v>2212</x:v>
      </x:c>
      <x:c r="P354" s="15" t="n">
        <x:v>630</x:v>
      </x:c>
      <x:c r="Q354" s="13" t="str">
        <x:v>NO_LARGE_TAIL_GAP</x:v>
      </x:c>
      <x:c r="R354" s="13" t="str"/>
      <x:c r="S354" s="16" t="n">
        <x:v>0</x:v>
      </x:c>
      <x:c r="T354" s="13" t="str">
        <x:v>a9089b6340ac62f51832a615c4992b1f9f553398cd584a7b542ec5483a26691a</x:v>
      </x:c>
    </x:row>
    <x:row r="355" ht="15" hidden="0" customHeight="1">
      <x:c r="A355" s="13" t="str">
        <x:v>VJtngjBjqsA</x:v>
      </x:c>
      <x:c r="B355" s="13" t="str">
        <x:v>Moving Averages | Stocks for Breakfast 7-15-20</x:v>
      </x:c>
      <x:c r="C355" s="14" t="d">
        <x:v>2020-07-15T00:00:00.000Z</x:v>
      </x:c>
      <x:c r="D355" s="18" t="e">
        <x:f>HYPERLINK("https://www.youtube.com/watch?v=VJtngjBjqsA","Watch video")</x:f>
        <x:v>HYPERLINK is not implemented. linkLocation=https://www.youtube.com/watch?v=VJtngjBjqsA, friendlyName=Watch video</x:v>
      </x:c>
      <x:c r="E355" s="18" t="e">
        <x:f>HYPERLINK("transcripts/VJtngjBjqsA.html","Complete transcript")</x:f>
        <x:v>HYPERLINK is not implemented. linkLocation=transcripts/VJtngjBjqsA.html, friendlyName=Complete transcript</x:v>
      </x:c>
      <x:c r="F355" s="13" t="str">
        <x:v>PETE_EXPLICIT</x:v>
      </x:c>
      <x:c r="G355" s="17" t="str">
        <x:v>UNREVIEWED</x:v>
      </x:c>
      <x:c r="H355" s="17" t="str"/>
      <x:c r="I355" s="17" t="str"/>
      <x:c r="J355" s="17" t="str"/>
      <x:c r="K355" s="17" t="str"/>
      <x:c r="L355" s="17" t="str"/>
      <x:c r="M355" s="17" t="str">
        <x:v>PENDING WHOLE-VIDEO REVIEW</x:v>
      </x:c>
      <x:c r="N355" s="15" t="n">
        <x:v>619</x:v>
      </x:c>
      <x:c r="O355" s="15" t="n">
        <x:v>3824</x:v>
      </x:c>
      <x:c r="P355" s="15" t="n">
        <x:v>1064</x:v>
      </x:c>
      <x:c r="Q355" s="13" t="str">
        <x:v>NO_LARGE_TAIL_GAP</x:v>
      </x:c>
      <x:c r="R355" s="13" t="str"/>
      <x:c r="S355" s="16" t="n">
        <x:v>0</x:v>
      </x:c>
      <x:c r="T355" s="13" t="str">
        <x:v>2e47c49c7d2894da9c09a9af8e44a2edc64a9e96698118eb5e33add9b6939805</x:v>
      </x:c>
    </x:row>
    <x:row r="356" ht="15" hidden="0" customHeight="1">
      <x:c r="A356" s="13" t="str">
        <x:v>VLDbp9DFVU4</x:v>
      </x:c>
      <x:c r="B356" s="13" t="str">
        <x:v>ROKU Explodes - HBO MAX Deal | Best Stock Picks Today 12-17-20</x:v>
      </x:c>
      <x:c r="C356" s="14" t="d">
        <x:v>2020-12-17T00:00:00.000Z</x:v>
      </x:c>
      <x:c r="D356" s="18" t="e">
        <x:f>HYPERLINK("https://www.youtube.com/watch?v=VLDbp9DFVU4","Watch video")</x:f>
        <x:v>HYPERLINK is not implemented. linkLocation=https://www.youtube.com/watch?v=VLDbp9DFVU4, friendlyName=Watch video</x:v>
      </x:c>
      <x:c r="E356" s="18" t="e">
        <x:f>HYPERLINK("transcripts/VLDbp9DFVU4.html","Complete transcript")</x:f>
        <x:v>HYPERLINK is not implemented. linkLocation=transcripts/VLDbp9DFVU4.html, friendlyName=Complete transcript</x:v>
      </x:c>
      <x:c r="F356" s="13" t="str">
        <x:v>PETE_EXPLICIT</x:v>
      </x:c>
      <x:c r="G356" s="17" t="str">
        <x:v>UNREVIEWED</x:v>
      </x:c>
      <x:c r="H356" s="17" t="str"/>
      <x:c r="I356" s="17" t="str"/>
      <x:c r="J356" s="17" t="str"/>
      <x:c r="K356" s="17" t="str"/>
      <x:c r="L356" s="17" t="str"/>
      <x:c r="M356" s="17" t="str">
        <x:v>PENDING WHOLE-VIDEO REVIEW</x:v>
      </x:c>
      <x:c r="N356" s="15" t="n">
        <x:v>290</x:v>
      </x:c>
      <x:c r="O356" s="15" t="n">
        <x:v>1806</x:v>
      </x:c>
      <x:c r="P356" s="15" t="n">
        <x:v>517</x:v>
      </x:c>
      <x:c r="Q356" s="13" t="str">
        <x:v>NO_LARGE_TAIL_GAP</x:v>
      </x:c>
      <x:c r="R356" s="13" t="str"/>
      <x:c r="S356" s="16" t="n">
        <x:v>0</x:v>
      </x:c>
      <x:c r="T356" s="13" t="str">
        <x:v>8c7d098843989cb122cd1deec8ff2127e36ef4e630b1fd0f4885b421c9a643de</x:v>
      </x:c>
    </x:row>
    <x:row r="357" ht="15" hidden="0" customHeight="1">
      <x:c r="A357" s="13" t="str">
        <x:v>VN_ogOA11QQ</x:v>
      </x:c>
      <x:c r="B357" s="13" t="str">
        <x:v>NIO Stock Upgraded | Best Stock Picks Today 10-14-20</x:v>
      </x:c>
      <x:c r="C357" s="14" t="d">
        <x:v>2020-10-14T00:00:00.000Z</x:v>
      </x:c>
      <x:c r="D357" s="18" t="e">
        <x:f>HYPERLINK("https://www.youtube.com/watch?v=VN_ogOA11QQ","Watch video")</x:f>
        <x:v>HYPERLINK is not implemented. linkLocation=https://www.youtube.com/watch?v=VN_ogOA11QQ, friendlyName=Watch video</x:v>
      </x:c>
      <x:c r="E357" s="18" t="e">
        <x:f>HYPERLINK("transcripts/VN_ogOA11QQ.html","Complete transcript")</x:f>
        <x:v>HYPERLINK is not implemented. linkLocation=transcripts/VN_ogOA11QQ.html, friendlyName=Complete transcript</x:v>
      </x:c>
      <x:c r="F357" s="13" t="str">
        <x:v>PETE_EXPLICIT</x:v>
      </x:c>
      <x:c r="G357" s="17" t="str">
        <x:v>UNREVIEWED</x:v>
      </x:c>
      <x:c r="H357" s="17" t="str"/>
      <x:c r="I357" s="17" t="str"/>
      <x:c r="J357" s="17" t="str"/>
      <x:c r="K357" s="17" t="str"/>
      <x:c r="L357" s="17" t="str"/>
      <x:c r="M357" s="17" t="str">
        <x:v>PENDING WHOLE-VIDEO REVIEW</x:v>
      </x:c>
      <x:c r="N357" s="15" t="n">
        <x:v>409</x:v>
      </x:c>
      <x:c r="O357" s="15" t="n">
        <x:v>2532</x:v>
      </x:c>
      <x:c r="P357" s="15" t="n">
        <x:v>723</x:v>
      </x:c>
      <x:c r="Q357" s="13" t="str">
        <x:v>NO_LARGE_TAIL_GAP</x:v>
      </x:c>
      <x:c r="R357" s="13" t="str"/>
      <x:c r="S357" s="16" t="n">
        <x:v>0</x:v>
      </x:c>
      <x:c r="T357" s="13" t="str">
        <x:v>5d55ec0beb23cc8609b79e9f0a4e3ded3091df11135d4fb31a6883c52b6a9515</x:v>
      </x:c>
    </x:row>
    <x:row r="358" ht="15" hidden="0" customHeight="1">
      <x:c r="A358" s="13" t="str">
        <x:v>VRqvF97lKGM</x:v>
      </x:c>
      <x:c r="B358" s="13" t="str">
        <x:v>Best Stock Picks Today | 5-11-20 Breakouts</x:v>
      </x:c>
      <x:c r="C358" s="14" t="d">
        <x:v>2020-05-11T00:00:00.000Z</x:v>
      </x:c>
      <x:c r="D358" s="18" t="e">
        <x:f>HYPERLINK("https://www.youtube.com/watch?v=VRqvF97lKGM","Watch video")</x:f>
        <x:v>HYPERLINK is not implemented. linkLocation=https://www.youtube.com/watch?v=VRqvF97lKGM, friendlyName=Watch video</x:v>
      </x:c>
      <x:c r="E358" s="18" t="e">
        <x:f>HYPERLINK("transcripts/VRqvF97lKGM.html","Complete transcript")</x:f>
        <x:v>HYPERLINK is not implemented. linkLocation=transcripts/VRqvF97lKGM.html, friendlyName=Complete transcript</x:v>
      </x:c>
      <x:c r="F358" s="13" t="str">
        <x:v>UNKNOWN_REQUIRES_REVIEW</x:v>
      </x:c>
      <x:c r="G358" s="17" t="str">
        <x:v>UNREVIEWED</x:v>
      </x:c>
      <x:c r="H358" s="17" t="str"/>
      <x:c r="I358" s="17" t="str"/>
      <x:c r="J358" s="17" t="str"/>
      <x:c r="K358" s="17" t="str"/>
      <x:c r="L358" s="17" t="str"/>
      <x:c r="M358" s="17" t="str">
        <x:v>PENDING WHOLE-VIDEO REVIEW</x:v>
      </x:c>
      <x:c r="N358" s="15" t="n">
        <x:v>377</x:v>
      </x:c>
      <x:c r="O358" s="15" t="n">
        <x:v>2350</x:v>
      </x:c>
      <x:c r="P358" s="15" t="n">
        <x:v>675</x:v>
      </x:c>
      <x:c r="Q358" s="13" t="str">
        <x:v>NO_LARGE_TAIL_GAP</x:v>
      </x:c>
      <x:c r="R358" s="13" t="str"/>
      <x:c r="S358" s="16" t="n">
        <x:v>0</x:v>
      </x:c>
      <x:c r="T358" s="13" t="str">
        <x:v>cee1a3e4c3da480c0f36242b9df72a139d5cdc4a11fbdd17e3fe2afbf5da4682</x:v>
      </x:c>
    </x:row>
    <x:row r="359" ht="15" hidden="0" customHeight="1">
      <x:c r="A359" s="13" t="str">
        <x:v>Vile-oz_Meg</x:v>
      </x:c>
      <x:c r="B359" s="13" t="str">
        <x:v>MCD Stock Earnings 7-28-20 | Best Stock Picks Today</x:v>
      </x:c>
      <x:c r="C359" s="14" t="d">
        <x:v>2020-07-28T00:00:00.000Z</x:v>
      </x:c>
      <x:c r="D359" s="18" t="e">
        <x:f>HYPERLINK("https://www.youtube.com/watch?v=Vile-oz_Meg","Watch video")</x:f>
        <x:v>HYPERLINK is not implemented. linkLocation=https://www.youtube.com/watch?v=Vile-oz_Meg, friendlyName=Watch video</x:v>
      </x:c>
      <x:c r="E359" s="18" t="e">
        <x:f>HYPERLINK("transcripts/Vile-oz_Meg.html","Complete transcript")</x:f>
        <x:v>HYPERLINK is not implemented. linkLocation=transcripts/Vile-oz_Meg.html, friendlyName=Complete transcript</x:v>
      </x:c>
      <x:c r="F359" s="13" t="str">
        <x:v>UNKNOWN_REQUIRES_REVIEW</x:v>
      </x:c>
      <x:c r="G359" s="17" t="str">
        <x:v>UNREVIEWED</x:v>
      </x:c>
      <x:c r="H359" s="17" t="str"/>
      <x:c r="I359" s="17" t="str"/>
      <x:c r="J359" s="17" t="str"/>
      <x:c r="K359" s="17" t="str"/>
      <x:c r="L359" s="17" t="str"/>
      <x:c r="M359" s="17" t="str">
        <x:v>PENDING WHOLE-VIDEO REVIEW</x:v>
      </x:c>
      <x:c r="N359" s="15" t="n">
        <x:v>445</x:v>
      </x:c>
      <x:c r="O359" s="15" t="n">
        <x:v>2762</x:v>
      </x:c>
      <x:c r="P359" s="15" t="n">
        <x:v>781</x:v>
      </x:c>
      <x:c r="Q359" s="13" t="str">
        <x:v>NO_LARGE_TAIL_GAP</x:v>
      </x:c>
      <x:c r="R359" s="13" t="str"/>
      <x:c r="S359" s="16" t="n">
        <x:v>0</x:v>
      </x:c>
      <x:c r="T359" s="13" t="str">
        <x:v>16c0f84448e7e4703be1e95c48d8741782055eab580de56d39433ecfafbed2bd</x:v>
      </x:c>
    </x:row>
    <x:row r="360" ht="15" hidden="0" customHeight="1">
      <x:c r="A360" s="13" t="str">
        <x:v>VnZYw_-D0m0</x:v>
      </x:c>
      <x:c r="B360" s="13" t="str">
        <x:v>Best Stock Picks Today | CSIQ Solar Stocks 10-6-20</x:v>
      </x:c>
      <x:c r="C360" s="14" t="d">
        <x:v>2020-10-06T00:00:00.000Z</x:v>
      </x:c>
      <x:c r="D360" s="18" t="e">
        <x:f>HYPERLINK("https://www.youtube.com/watch?v=VnZYw_-D0m0","Watch video")</x:f>
        <x:v>HYPERLINK is not implemented. linkLocation=https://www.youtube.com/watch?v=VnZYw_-D0m0, friendlyName=Watch video</x:v>
      </x:c>
      <x:c r="E360" s="18" t="e">
        <x:f>HYPERLINK("transcripts/VnZYw_-D0m0.html","Complete transcript")</x:f>
        <x:v>HYPERLINK is not implemented. linkLocation=transcripts/VnZYw_-D0m0.html, friendlyName=Complete transcript</x:v>
      </x:c>
      <x:c r="F360" s="13" t="str">
        <x:v>PETE_EXPLICIT</x:v>
      </x:c>
      <x:c r="G360" s="17" t="str">
        <x:v>UNREVIEWED</x:v>
      </x:c>
      <x:c r="H360" s="17" t="str"/>
      <x:c r="I360" s="17" t="str"/>
      <x:c r="J360" s="17" t="str"/>
      <x:c r="K360" s="17" t="str"/>
      <x:c r="L360" s="17" t="str"/>
      <x:c r="M360" s="17" t="str">
        <x:v>PENDING WHOLE-VIDEO REVIEW</x:v>
      </x:c>
      <x:c r="N360" s="15" t="n">
        <x:v>326</x:v>
      </x:c>
      <x:c r="O360" s="15" t="n">
        <x:v>2020</x:v>
      </x:c>
      <x:c r="P360" s="15" t="n">
        <x:v>593</x:v>
      </x:c>
      <x:c r="Q360" s="13" t="str">
        <x:v>NO_LARGE_TAIL_GAP</x:v>
      </x:c>
      <x:c r="R360" s="13" t="str"/>
      <x:c r="S360" s="16" t="n">
        <x:v>0</x:v>
      </x:c>
      <x:c r="T360" s="13" t="str">
        <x:v>caaa7e75920aea504500b7157ba2be76b65aa92792ea70e8a210f415f6d95878</x:v>
      </x:c>
    </x:row>
    <x:row r="361" ht="15" hidden="0" customHeight="1">
      <x:c r="A361" s="13" t="str">
        <x:v>VoSh7IRBDs4</x:v>
      </x:c>
      <x:c r="B361" s="13" t="str">
        <x:v>Trading Journal Mastery | Market Hours | Part 2 of 3</x:v>
      </x:c>
      <x:c r="C361" s="14" t="d">
        <x:v>2016-07-21T00:00:00.000Z</x:v>
      </x:c>
      <x:c r="D361" s="18" t="e">
        <x:f>HYPERLINK("https://www.youtube.com/watch?v=VoSh7IRBDs4","Watch video")</x:f>
        <x:v>HYPERLINK is not implemented. linkLocation=https://www.youtube.com/watch?v=VoSh7IRBDs4, friendlyName=Watch video</x:v>
      </x:c>
      <x:c r="E361" s="18" t="e">
        <x:f>HYPERLINK("transcripts/VoSh7IRBDs4.html","Complete transcript")</x:f>
        <x:v>HYPERLINK is not implemented. linkLocation=transcripts/VoSh7IRBDs4.html, friendlyName=Complete transcript</x:v>
      </x:c>
      <x:c r="F361" s="13" t="str">
        <x:v>UNKNOWN_REQUIRES_REVIEW</x:v>
      </x:c>
      <x:c r="G361" s="17" t="str">
        <x:v>UNREVIEWED</x:v>
      </x:c>
      <x:c r="H361" s="17" t="str"/>
      <x:c r="I361" s="17" t="str"/>
      <x:c r="J361" s="17" t="str"/>
      <x:c r="K361" s="17" t="str"/>
      <x:c r="L361" s="17" t="str"/>
      <x:c r="M361" s="17" t="str">
        <x:v>PENDING WHOLE-VIDEO REVIEW</x:v>
      </x:c>
      <x:c r="N361" s="15" t="n">
        <x:v>309</x:v>
      </x:c>
      <x:c r="O361" s="15" t="n">
        <x:v>2212</x:v>
      </x:c>
      <x:c r="P361" s="15" t="n">
        <x:v>642</x:v>
      </x:c>
      <x:c r="Q361" s="13" t="str">
        <x:v>NO_LARGE_TAIL_GAP</x:v>
      </x:c>
      <x:c r="R361" s="13" t="str"/>
      <x:c r="S361" s="16" t="n">
        <x:v>0</x:v>
      </x:c>
      <x:c r="T361" s="13" t="str">
        <x:v>dcf71244d69cd7d41445e7756eed3b1d447837d846e58ae86e084561bc8ff6f3</x:v>
      </x:c>
    </x:row>
    <x:row r="362" ht="15" hidden="0" customHeight="1">
      <x:c r="A362" s="13" t="str">
        <x:v>W4lOQO3I9lg</x:v>
      </x:c>
      <x:c r="B362" s="13" t="str">
        <x:v>Smart Trader Tips: Avoiding Stock Hype Traps &amp; Finding Real Buys</x:v>
      </x:c>
      <x:c r="C362" s="14" t="d">
        <x:v>2021-02-12T00:00:00.000Z</x:v>
      </x:c>
      <x:c r="D362" s="18" t="e">
        <x:f>HYPERLINK("https://www.youtube.com/watch?v=W4lOQO3I9lg","Watch video")</x:f>
        <x:v>HYPERLINK is not implemented. linkLocation=https://www.youtube.com/watch?v=W4lOQO3I9lg, friendlyName=Watch video</x:v>
      </x:c>
      <x:c r="E362" s="18" t="e">
        <x:f>HYPERLINK("transcripts/W4lOQO3I9lg.html","Complete transcript")</x:f>
        <x:v>HYPERLINK is not implemented. linkLocation=transcripts/W4lOQO3I9lg.html, friendlyName=Complete transcript</x:v>
      </x:c>
      <x:c r="F362" s="13" t="str">
        <x:v>PETE_EXPLICIT</x:v>
      </x:c>
      <x:c r="G362" s="17" t="str">
        <x:v>UNREVIEWED</x:v>
      </x:c>
      <x:c r="H362" s="17" t="str"/>
      <x:c r="I362" s="17" t="str"/>
      <x:c r="J362" s="17" t="str"/>
      <x:c r="K362" s="17" t="str"/>
      <x:c r="L362" s="17" t="str"/>
      <x:c r="M362" s="17" t="str">
        <x:v>PENDING WHOLE-VIDEO REVIEW</x:v>
      </x:c>
      <x:c r="N362" s="15" t="n">
        <x:v>341</x:v>
      </x:c>
      <x:c r="O362" s="15" t="n">
        <x:v>2137</x:v>
      </x:c>
      <x:c r="P362" s="15" t="n">
        <x:v>620</x:v>
      </x:c>
      <x:c r="Q362" s="13" t="str">
        <x:v>NO_LARGE_TAIL_GAP</x:v>
      </x:c>
      <x:c r="R362" s="13" t="str"/>
      <x:c r="S362" s="16" t="n">
        <x:v>0</x:v>
      </x:c>
      <x:c r="T362" s="13" t="str">
        <x:v>f8e564c6bfc885ea507032f8a64fc74b15b1d00327a1961161ebce33fde0c1cc</x:v>
      </x:c>
    </x:row>
    <x:row r="363" ht="15" hidden="0" customHeight="1">
      <x:c r="A363" s="13" t="str">
        <x:v>W5YqfHFg_ko</x:v>
      </x:c>
      <x:c r="B363" s="13" t="str">
        <x:v>Best Stock Picks Today | GE Earnings 1-26-21</x:v>
      </x:c>
      <x:c r="C363" s="14" t="d">
        <x:v>2021-01-26T00:00:00.000Z</x:v>
      </x:c>
      <x:c r="D363" s="18" t="e">
        <x:f>HYPERLINK("https://www.youtube.com/watch?v=W5YqfHFg_ko","Watch video")</x:f>
        <x:v>HYPERLINK is not implemented. linkLocation=https://www.youtube.com/watch?v=W5YqfHFg_ko, friendlyName=Watch video</x:v>
      </x:c>
      <x:c r="E363" s="18" t="e">
        <x:f>HYPERLINK("transcripts/W5YqfHFg_ko.html","Complete transcript")</x:f>
        <x:v>HYPERLINK is not implemented. linkLocation=transcripts/W5YqfHFg_ko.html, friendlyName=Complete transcript</x:v>
      </x:c>
      <x:c r="F363" s="13" t="str">
        <x:v>PETE_EXPLICIT</x:v>
      </x:c>
      <x:c r="G363" s="17" t="str">
        <x:v>UNREVIEWED</x:v>
      </x:c>
      <x:c r="H363" s="17" t="str"/>
      <x:c r="I363" s="17" t="str"/>
      <x:c r="J363" s="17" t="str"/>
      <x:c r="K363" s="17" t="str"/>
      <x:c r="L363" s="17" t="str"/>
      <x:c r="M363" s="17" t="str">
        <x:v>PENDING WHOLE-VIDEO REVIEW</x:v>
      </x:c>
      <x:c r="N363" s="15" t="n">
        <x:v>346</x:v>
      </x:c>
      <x:c r="O363" s="15" t="n">
        <x:v>2077</x:v>
      </x:c>
      <x:c r="P363" s="15" t="n">
        <x:v>613</x:v>
      </x:c>
      <x:c r="Q363" s="13" t="str">
        <x:v>NO_LARGE_TAIL_GAP</x:v>
      </x:c>
      <x:c r="R363" s="13" t="str"/>
      <x:c r="S363" s="16" t="n">
        <x:v>0</x:v>
      </x:c>
      <x:c r="T363" s="13" t="str">
        <x:v>1e900a85e8fd39b81d6868d768e70fc08b0d6c62be8ca2ed6e8e33609da27cda</x:v>
      </x:c>
    </x:row>
    <x:row r="364" ht="15" hidden="0" customHeight="1">
      <x:c r="A364" s="13" t="str">
        <x:v>W7lzpqLJkGI</x:v>
      </x:c>
      <x:c r="B364" s="13" t="str">
        <x:v>Pete Renzulli Trading Conference</x:v>
      </x:c>
      <x:c r="C364" s="14" t="d">
        <x:v>2014-03-06T00:00:00.000Z</x:v>
      </x:c>
      <x:c r="D364" s="18" t="e">
        <x:f>HYPERLINK("https://www.youtube.com/watch?v=W7lzpqLJkGI","Watch video")</x:f>
        <x:v>HYPERLINK is not implemented. linkLocation=https://www.youtube.com/watch?v=W7lzpqLJkGI, friendlyName=Watch video</x:v>
      </x:c>
      <x:c r="E364" s="18" t="e">
        <x:f>HYPERLINK("transcripts/W7lzpqLJkGI.html","Complete transcript")</x:f>
        <x:v>HYPERLINK is not implemented. linkLocation=transcripts/W7lzpqLJkGI.html, friendlyName=Complete transcript</x:v>
      </x:c>
      <x:c r="F364" s="13" t="str">
        <x:v>UNKNOWN_REQUIRES_REVIEW</x:v>
      </x:c>
      <x:c r="G364" s="17" t="str">
        <x:v>UNREVIEWED</x:v>
      </x:c>
      <x:c r="H364" s="17" t="str"/>
      <x:c r="I364" s="17" t="str"/>
      <x:c r="J364" s="17" t="str"/>
      <x:c r="K364" s="17" t="str"/>
      <x:c r="L364" s="17" t="str"/>
      <x:c r="M364" s="17" t="str">
        <x:v>PENDING WHOLE-VIDEO REVIEW</x:v>
      </x:c>
      <x:c r="N364" s="15" t="n">
        <x:v>553</x:v>
      </x:c>
      <x:c r="O364" s="15" t="n">
        <x:v>3715</x:v>
      </x:c>
      <x:c r="P364" s="15" t="n">
        <x:v>1096</x:v>
      </x:c>
      <x:c r="Q364" s="13" t="str">
        <x:v>NO_LARGE_TAIL_GAP</x:v>
      </x:c>
      <x:c r="R364" s="13" t="str"/>
      <x:c r="S364" s="16" t="n">
        <x:v>0</x:v>
      </x:c>
      <x:c r="T364" s="13" t="str">
        <x:v>b58c0d4e7c8007603187354de4e008d06fbed9b82ad3c142bfbb313a117beb76</x:v>
      </x:c>
    </x:row>
    <x:row r="365" ht="15" hidden="0" customHeight="1">
      <x:c r="A365" s="13" t="str">
        <x:v>WA68M5AviBA</x:v>
      </x:c>
      <x:c r="B365" s="13" t="str">
        <x:v>Best Stock Picks Today | JPM Breakout Setup 9820</x:v>
      </x:c>
      <x:c r="C365" s="14" t="d">
        <x:v>2020-09-08T00:00:00.000Z</x:v>
      </x:c>
      <x:c r="D365" s="18" t="e">
        <x:f>HYPERLINK("https://www.youtube.com/watch?v=WA68M5AviBA","Watch video")</x:f>
        <x:v>HYPERLINK is not implemented. linkLocation=https://www.youtube.com/watch?v=WA68M5AviBA, friendlyName=Watch video</x:v>
      </x:c>
      <x:c r="E365" s="18" t="e">
        <x:f>HYPERLINK("transcripts/WA68M5AviBA.html","Complete transcript")</x:f>
        <x:v>HYPERLINK is not implemented. linkLocation=transcripts/WA68M5AviBA.html, friendlyName=Complete transcript</x:v>
      </x:c>
      <x:c r="F365" s="13" t="str">
        <x:v>PETE_EXPLICIT</x:v>
      </x:c>
      <x:c r="G365" s="17" t="str">
        <x:v>UNREVIEWED</x:v>
      </x:c>
      <x:c r="H365" s="17" t="str"/>
      <x:c r="I365" s="17" t="str"/>
      <x:c r="J365" s="17" t="str"/>
      <x:c r="K365" s="17" t="str"/>
      <x:c r="L365" s="17" t="str"/>
      <x:c r="M365" s="17" t="str">
        <x:v>PENDING WHOLE-VIDEO REVIEW</x:v>
      </x:c>
      <x:c r="N365" s="15" t="n">
        <x:v>487</x:v>
      </x:c>
      <x:c r="O365" s="15" t="n">
        <x:v>3054</x:v>
      </x:c>
      <x:c r="P365" s="15" t="n">
        <x:v>850</x:v>
      </x:c>
      <x:c r="Q365" s="13" t="str">
        <x:v>NO_LARGE_TAIL_GAP</x:v>
      </x:c>
      <x:c r="R365" s="13" t="str"/>
      <x:c r="S365" s="16" t="n">
        <x:v>0</x:v>
      </x:c>
      <x:c r="T365" s="13" t="str">
        <x:v>445be7a474eadae1d65455cf84534c404538ec5c533a10de68c552e774962ab7</x:v>
      </x:c>
    </x:row>
    <x:row r="366" ht="15" hidden="0" customHeight="1">
      <x:c r="A366" s="13" t="str">
        <x:v>WCY9oaRydUE</x:v>
      </x:c>
      <x:c r="B366" s="13" t="str">
        <x:v>Stock Market Lessons | Stocks for Breakfast</x:v>
      </x:c>
      <x:c r="C366" s="14" t="d">
        <x:v>2020-12-02T00:00:00.000Z</x:v>
      </x:c>
      <x:c r="D366" s="18" t="e">
        <x:f>HYPERLINK("https://www.youtube.com/watch?v=WCY9oaRydUE","Watch video")</x:f>
        <x:v>HYPERLINK is not implemented. linkLocation=https://www.youtube.com/watch?v=WCY9oaRydUE, friendlyName=Watch video</x:v>
      </x:c>
      <x:c r="E366" s="18" t="e">
        <x:f>HYPERLINK("transcripts/WCY9oaRydUE.html","Complete transcript")</x:f>
        <x:v>HYPERLINK is not implemented. linkLocation=transcripts/WCY9oaRydUE.html, friendlyName=Complete transcript</x:v>
      </x:c>
      <x:c r="F366" s="13" t="str">
        <x:v>PETE_EXPLICIT</x:v>
      </x:c>
      <x:c r="G366" s="17" t="str">
        <x:v>UNREVIEWED</x:v>
      </x:c>
      <x:c r="H366" s="17" t="str"/>
      <x:c r="I366" s="17" t="str"/>
      <x:c r="J366" s="17" t="str"/>
      <x:c r="K366" s="17" t="str"/>
      <x:c r="L366" s="17" t="str"/>
      <x:c r="M366" s="17" t="str">
        <x:v>PENDING WHOLE-VIDEO REVIEW</x:v>
      </x:c>
      <x:c r="N366" s="15" t="n">
        <x:v>376</x:v>
      </x:c>
      <x:c r="O366" s="15" t="n">
        <x:v>2317</x:v>
      </x:c>
      <x:c r="P366" s="15" t="n">
        <x:v>683</x:v>
      </x:c>
      <x:c r="Q366" s="13" t="str">
        <x:v>NO_LARGE_TAIL_GAP</x:v>
      </x:c>
      <x:c r="R366" s="13" t="str"/>
      <x:c r="S366" s="16" t="n">
        <x:v>0</x:v>
      </x:c>
      <x:c r="T366" s="13" t="str">
        <x:v>ee959e3e29b92d32674710454594d175452e36b9a49787675d599d440a7fac6c</x:v>
      </x:c>
    </x:row>
    <x:row r="367" ht="15" hidden="0" customHeight="1">
      <x:c r="A367" s="13" t="str">
        <x:v>WPVBh6hHdtk</x:v>
      </x:c>
      <x:c r="B367" s="13" t="str">
        <x:v>Best Stock Picks Today | PLUG Power Swing Trade 12-23-20</x:v>
      </x:c>
      <x:c r="C367" s="14" t="d">
        <x:v>2020-12-23T00:00:00.000Z</x:v>
      </x:c>
      <x:c r="D367" s="18" t="e">
        <x:f>HYPERLINK("https://www.youtube.com/watch?v=WPVBh6hHdtk","Watch video")</x:f>
        <x:v>HYPERLINK is not implemented. linkLocation=https://www.youtube.com/watch?v=WPVBh6hHdtk, friendlyName=Watch video</x:v>
      </x:c>
      <x:c r="E367" s="18" t="e">
        <x:f>HYPERLINK("transcripts/WPVBh6hHdtk.html","Complete transcript")</x:f>
        <x:v>HYPERLINK is not implemented. linkLocation=transcripts/WPVBh6hHdtk.html, friendlyName=Complete transcript</x:v>
      </x:c>
      <x:c r="F367" s="13" t="str">
        <x:v>PETE_EXPLICIT</x:v>
      </x:c>
      <x:c r="G367" s="17" t="str">
        <x:v>UNREVIEWED</x:v>
      </x:c>
      <x:c r="H367" s="17" t="str"/>
      <x:c r="I367" s="17" t="str"/>
      <x:c r="J367" s="17" t="str"/>
      <x:c r="K367" s="17" t="str"/>
      <x:c r="L367" s="17" t="str"/>
      <x:c r="M367" s="17" t="str">
        <x:v>PENDING WHOLE-VIDEO REVIEW</x:v>
      </x:c>
      <x:c r="N367" s="15" t="n">
        <x:v>276</x:v>
      </x:c>
      <x:c r="O367" s="15" t="n">
        <x:v>1719</x:v>
      </x:c>
      <x:c r="P367" s="15" t="n">
        <x:v>499</x:v>
      </x:c>
      <x:c r="Q367" s="13" t="str">
        <x:v>NO_LARGE_TAIL_GAP</x:v>
      </x:c>
      <x:c r="R367" s="13" t="str"/>
      <x:c r="S367" s="16" t="n">
        <x:v>0</x:v>
      </x:c>
      <x:c r="T367" s="13" t="str">
        <x:v>0c6eb7be1fa04548810e01caa5eee89543ae8bf00036a1d5d06ae0144b082c18</x:v>
      </x:c>
    </x:row>
    <x:row r="368" ht="15" hidden="0" customHeight="1">
      <x:c r="A368" s="13" t="str">
        <x:v>WQk1Me4Ah2Q</x:v>
      </x:c>
      <x:c r="B368" s="13" t="str">
        <x:v>How To Track, Trade &amp; Analyze R-Multiples</x:v>
      </x:c>
      <x:c r="C368" s="14" t="d">
        <x:v>2026-06-17T00:00:00.000Z</x:v>
      </x:c>
      <x:c r="D368" s="18" t="e">
        <x:f>HYPERLINK("https://www.youtube.com/watch?v=WQk1Me4Ah2Q","Watch video")</x:f>
        <x:v>HYPERLINK is not implemented. linkLocation=https://www.youtube.com/watch?v=WQk1Me4Ah2Q, friendlyName=Watch video</x:v>
      </x:c>
      <x:c r="E368" s="18" t="e">
        <x:f>HYPERLINK("transcripts/WQk1Me4Ah2Q.html","Complete transcript")</x:f>
        <x:v>HYPERLINK is not implemented. linkLocation=transcripts/WQk1Me4Ah2Q.html, friendlyName=Complete transcript</x:v>
      </x:c>
      <x:c r="F368" s="13" t="str">
        <x:v>UNKNOWN_REQUIRES_REVIEW</x:v>
      </x:c>
      <x:c r="G368" s="17" t="str">
        <x:v>UNREVIEWED</x:v>
      </x:c>
      <x:c r="H368" s="17" t="str"/>
      <x:c r="I368" s="17" t="str"/>
      <x:c r="J368" s="17" t="str"/>
      <x:c r="K368" s="17" t="str"/>
      <x:c r="L368" s="17" t="str"/>
      <x:c r="M368" s="17" t="str">
        <x:v>PENDING WHOLE-VIDEO REVIEW</x:v>
      </x:c>
      <x:c r="N368" s="15" t="n">
        <x:v>279</x:v>
      </x:c>
      <x:c r="O368" s="15" t="n">
        <x:v>1715</x:v>
      </x:c>
      <x:c r="P368" s="15" t="n">
        <x:v>570</x:v>
      </x:c>
      <x:c r="Q368" s="13" t="str">
        <x:v>NO_LARGE_TAIL_GAP</x:v>
      </x:c>
      <x:c r="R368" s="13" t="str"/>
      <x:c r="S368" s="16" t="n">
        <x:v>0</x:v>
      </x:c>
      <x:c r="T368" s="13" t="str">
        <x:v>a3cbc23492eebdd5bd21c7cd40d2e250dd20f61b824c8fbae9b85de15c31e126</x:v>
      </x:c>
    </x:row>
    <x:row r="369" ht="15" hidden="0" customHeight="1">
      <x:c r="A369" s="13" t="str">
        <x:v>WT6SRIXVTuY</x:v>
      </x:c>
      <x:c r="B369" s="13" t="str">
        <x:v>Stock Trading Seminar | 6-18-20 Stocks for Breakfast</x:v>
      </x:c>
      <x:c r="C369" s="14" t="d">
        <x:v>2020-06-18T00:00:00.000Z</x:v>
      </x:c>
      <x:c r="D369" s="18" t="e">
        <x:f>HYPERLINK("https://www.youtube.com/watch?v=WT6SRIXVTuY","Watch video")</x:f>
        <x:v>HYPERLINK is not implemented. linkLocation=https://www.youtube.com/watch?v=WT6SRIXVTuY, friendlyName=Watch video</x:v>
      </x:c>
      <x:c r="E369" s="18" t="e">
        <x:f>HYPERLINK("transcripts/WT6SRIXVTuY.html","Complete transcript")</x:f>
        <x:v>HYPERLINK is not implemented. linkLocation=transcripts/WT6SRIXVTuY.html, friendlyName=Complete transcript</x:v>
      </x:c>
      <x:c r="F369" s="13" t="str">
        <x:v>UNKNOWN_REQUIRES_REVIEW</x:v>
      </x:c>
      <x:c r="G369" s="17" t="str">
        <x:v>UNREVIEWED</x:v>
      </x:c>
      <x:c r="H369" s="17" t="str"/>
      <x:c r="I369" s="17" t="str"/>
      <x:c r="J369" s="17" t="str"/>
      <x:c r="K369" s="17" t="str"/>
      <x:c r="L369" s="17" t="str"/>
      <x:c r="M369" s="17" t="str">
        <x:v>PENDING WHOLE-VIDEO REVIEW</x:v>
      </x:c>
      <x:c r="N369" s="15" t="n">
        <x:v>454</x:v>
      </x:c>
      <x:c r="O369" s="15" t="n">
        <x:v>3217</x:v>
      </x:c>
      <x:c r="P369" s="15" t="n">
        <x:v>990</x:v>
      </x:c>
      <x:c r="Q369" s="13" t="str">
        <x:v>NO_LARGE_TAIL_GAP</x:v>
      </x:c>
      <x:c r="R369" s="13" t="str"/>
      <x:c r="S369" s="16" t="n">
        <x:v>0</x:v>
      </x:c>
      <x:c r="T369" s="13" t="str">
        <x:v>9ccd102e478a57e8fa811978725f53eba583b103d3b58cb157f5b74d1078b75e</x:v>
      </x:c>
    </x:row>
    <x:row r="370" ht="15" hidden="0" customHeight="1">
      <x:c r="A370" s="13" t="str">
        <x:v>Wa2WbVYMVRQ</x:v>
      </x:c>
      <x:c r="B370" s="13" t="str">
        <x:v>Stocks for Breakfast 2 19 20 | Today's Stock Picks</x:v>
      </x:c>
      <x:c r="C370" s="14" t="d">
        <x:v>2020-02-19T00:00:00.000Z</x:v>
      </x:c>
      <x:c r="D370" s="18" t="e">
        <x:f>HYPERLINK("https://www.youtube.com/watch?v=Wa2WbVYMVRQ","Watch video")</x:f>
        <x:v>HYPERLINK is not implemented. linkLocation=https://www.youtube.com/watch?v=Wa2WbVYMVRQ, friendlyName=Watch video</x:v>
      </x:c>
      <x:c r="E370" s="18" t="e">
        <x:f>HYPERLINK("transcripts/Wa2WbVYMVRQ.html","Complete transcript")</x:f>
        <x:v>HYPERLINK is not implemented. linkLocation=transcripts/Wa2WbVYMVRQ.html, friendlyName=Complete transcript</x:v>
      </x:c>
      <x:c r="F370" s="13" t="str">
        <x:v>UNKNOWN_REQUIRES_REVIEW</x:v>
      </x:c>
      <x:c r="G370" s="17" t="str">
        <x:v>UNREVIEWED</x:v>
      </x:c>
      <x:c r="H370" s="17" t="str"/>
      <x:c r="I370" s="17" t="str"/>
      <x:c r="J370" s="17" t="str"/>
      <x:c r="K370" s="17" t="str"/>
      <x:c r="L370" s="17" t="str"/>
      <x:c r="M370" s="17" t="str">
        <x:v>PENDING WHOLE-VIDEO REVIEW</x:v>
      </x:c>
      <x:c r="N370" s="15" t="n">
        <x:v>428</x:v>
      </x:c>
      <x:c r="O370" s="15" t="n">
        <x:v>3089</x:v>
      </x:c>
      <x:c r="P370" s="15" t="n">
        <x:v>898</x:v>
      </x:c>
      <x:c r="Q370" s="13" t="str">
        <x:v>NO_LARGE_TAIL_GAP</x:v>
      </x:c>
      <x:c r="R370" s="13" t="str"/>
      <x:c r="S370" s="16" t="n">
        <x:v>0</x:v>
      </x:c>
      <x:c r="T370" s="13" t="str">
        <x:v>81b8cd1c1a3c90109ef24730e09e8184923b0118bbde14ae92675cfb56dd7311</x:v>
      </x:c>
    </x:row>
    <x:row r="371" ht="15" hidden="0" customHeight="1">
      <x:c r="A371" s="13" t="str">
        <x:v>Wb9qnh_OUow</x:v>
      </x:c>
      <x:c r="B371" s="13" t="str">
        <x:v>Trading AMD Earnings 7 29 20 Best Stock Picks Today</x:v>
      </x:c>
      <x:c r="C371" s="14" t="d">
        <x:v>2020-07-29T00:00:00.000Z</x:v>
      </x:c>
      <x:c r="D371" s="18" t="e">
        <x:f>HYPERLINK("https://www.youtube.com/watch?v=Wb9qnh_OUow","Watch video")</x:f>
        <x:v>HYPERLINK is not implemented. linkLocation=https://www.youtube.com/watch?v=Wb9qnh_OUow, friendlyName=Watch video</x:v>
      </x:c>
      <x:c r="E371" s="18" t="e">
        <x:f>HYPERLINK("transcripts/Wb9qnh_OUow.html","Complete transcript")</x:f>
        <x:v>HYPERLINK is not implemented. linkLocation=transcripts/Wb9qnh_OUow.html, friendlyName=Complete transcript</x:v>
      </x:c>
      <x:c r="F371" s="13" t="str">
        <x:v>PETE_EXPLICIT</x:v>
      </x:c>
      <x:c r="G371" s="17" t="str">
        <x:v>UNREVIEWED</x:v>
      </x:c>
      <x:c r="H371" s="17" t="str"/>
      <x:c r="I371" s="17" t="str"/>
      <x:c r="J371" s="17" t="str"/>
      <x:c r="K371" s="17" t="str"/>
      <x:c r="L371" s="17" t="str"/>
      <x:c r="M371" s="17" t="str">
        <x:v>PENDING WHOLE-VIDEO REVIEW</x:v>
      </x:c>
      <x:c r="N371" s="15" t="n">
        <x:v>418</x:v>
      </x:c>
      <x:c r="O371" s="15" t="n">
        <x:v>2612</x:v>
      </x:c>
      <x:c r="P371" s="15" t="n">
        <x:v>728</x:v>
      </x:c>
      <x:c r="Q371" s="13" t="str">
        <x:v>NO_LARGE_TAIL_GAP</x:v>
      </x:c>
      <x:c r="R371" s="13" t="str"/>
      <x:c r="S371" s="16" t="n">
        <x:v>0</x:v>
      </x:c>
      <x:c r="T371" s="13" t="str">
        <x:v>a733f241e575b766d53eed192651acc4647e081ee9bcb36229b561e7c136516c</x:v>
      </x:c>
    </x:row>
    <x:row r="372" ht="15" hidden="0" customHeight="1">
      <x:c r="A372" s="13" t="str">
        <x:v>WcaxbsoMVq4</x:v>
      </x:c>
      <x:c r="B372" s="13" t="str">
        <x:v>Best Day Trading Scans | 4 9 20 Stocks for Breakfast</x:v>
      </x:c>
      <x:c r="C372" s="14" t="d">
        <x:v>2020-04-09T00:00:00.000Z</x:v>
      </x:c>
      <x:c r="D372" s="18" t="e">
        <x:f>HYPERLINK("https://www.youtube.com/watch?v=WcaxbsoMVq4","Watch video")</x:f>
        <x:v>HYPERLINK is not implemented. linkLocation=https://www.youtube.com/watch?v=WcaxbsoMVq4, friendlyName=Watch video</x:v>
      </x:c>
      <x:c r="E372" s="18" t="e">
        <x:f>HYPERLINK("transcripts/WcaxbsoMVq4.html","Complete transcript")</x:f>
        <x:v>HYPERLINK is not implemented. linkLocation=transcripts/WcaxbsoMVq4.html, friendlyName=Complete transcript</x:v>
      </x:c>
      <x:c r="F372" s="13" t="str">
        <x:v>UNKNOWN_REQUIRES_REVIEW</x:v>
      </x:c>
      <x:c r="G372" s="17" t="str">
        <x:v>UNREVIEWED</x:v>
      </x:c>
      <x:c r="H372" s="17" t="str"/>
      <x:c r="I372" s="17" t="str"/>
      <x:c r="J372" s="17" t="str"/>
      <x:c r="K372" s="17" t="str"/>
      <x:c r="L372" s="17" t="str"/>
      <x:c r="M372" s="17" t="str">
        <x:v>PENDING WHOLE-VIDEO REVIEW</x:v>
      </x:c>
      <x:c r="N372" s="15" t="n">
        <x:v>634</x:v>
      </x:c>
      <x:c r="O372" s="15" t="n">
        <x:v>4690</x:v>
      </x:c>
      <x:c r="P372" s="15" t="n">
        <x:v>1382</x:v>
      </x:c>
      <x:c r="Q372" s="13" t="str">
        <x:v>NO_LARGE_TAIL_GAP</x:v>
      </x:c>
      <x:c r="R372" s="13" t="str"/>
      <x:c r="S372" s="16" t="n">
        <x:v>0</x:v>
      </x:c>
      <x:c r="T372" s="13" t="str">
        <x:v>3d472e3babb86b2b4323d8efab833e0f815d645d08cb0872e2cc02a66def9456</x:v>
      </x:c>
    </x:row>
    <x:row r="373" ht="15" hidden="0" customHeight="1">
      <x:c r="A373" s="13" t="str">
        <x:v>WoYgw6yZKlI</x:v>
      </x:c>
      <x:c r="B373" s="13" t="str">
        <x:v>Stock Market | Trading Game Plan Recap | 4.28.15</x:v>
      </x:c>
      <x:c r="C373" s="14" t="d">
        <x:v>2015-04-28T00:00:00.000Z</x:v>
      </x:c>
      <x:c r="D373" s="18" t="e">
        <x:f>HYPERLINK("https://www.youtube.com/watch?v=WoYgw6yZKlI","Watch video")</x:f>
        <x:v>HYPERLINK is not implemented. linkLocation=https://www.youtube.com/watch?v=WoYgw6yZKlI, friendlyName=Watch video</x:v>
      </x:c>
      <x:c r="E373" s="18" t="e">
        <x:f>HYPERLINK("transcripts/WoYgw6yZKlI.html","Complete transcript")</x:f>
        <x:v>HYPERLINK is not implemented. linkLocation=transcripts/WoYgw6yZKlI.html, friendlyName=Complete transcript</x:v>
      </x:c>
      <x:c r="F373" s="13" t="str">
        <x:v>UNKNOWN_REQUIRES_REVIEW</x:v>
      </x:c>
      <x:c r="G373" s="17" t="str">
        <x:v>UNREVIEWED</x:v>
      </x:c>
      <x:c r="H373" s="17" t="str"/>
      <x:c r="I373" s="17" t="str"/>
      <x:c r="J373" s="17" t="str"/>
      <x:c r="K373" s="17" t="str"/>
      <x:c r="L373" s="17" t="str"/>
      <x:c r="M373" s="17" t="str">
        <x:v>PENDING WHOLE-VIDEO REVIEW</x:v>
      </x:c>
      <x:c r="N373" s="15" t="n">
        <x:v>558</x:v>
      </x:c>
      <x:c r="O373" s="15" t="n">
        <x:v>4097</x:v>
      </x:c>
      <x:c r="P373" s="15" t="n">
        <x:v>1238</x:v>
      </x:c>
      <x:c r="Q373" s="13" t="str">
        <x:v>NO_LARGE_TAIL_GAP</x:v>
      </x:c>
      <x:c r="R373" s="13" t="str"/>
      <x:c r="S373" s="16" t="n">
        <x:v>0</x:v>
      </x:c>
      <x:c r="T373" s="13" t="str">
        <x:v>c5972e78f2f27ee21df511a205db63b0ff933fde90022f712748b579f54199a6</x:v>
      </x:c>
    </x:row>
    <x:row r="374" ht="15" hidden="0" customHeight="1">
      <x:c r="A374" s="13" t="str">
        <x:v>WxPVXEsPMiY</x:v>
      </x:c>
      <x:c r="B374" s="13" t="str">
        <x:v>Perfect Trade Alert | Cyber Monday Subscription</x:v>
      </x:c>
      <x:c r="C374" s="14" t="d">
        <x:v>2015-11-30T00:00:00.000Z</x:v>
      </x:c>
      <x:c r="D374" s="18" t="e">
        <x:f>HYPERLINK("https://www.youtube.com/watch?v=WxPVXEsPMiY","Watch video")</x:f>
        <x:v>HYPERLINK is not implemented. linkLocation=https://www.youtube.com/watch?v=WxPVXEsPMiY, friendlyName=Watch video</x:v>
      </x:c>
      <x:c r="E374" s="18" t="e">
        <x:f>HYPERLINK("transcripts/WxPVXEsPMiY.html","Complete transcript")</x:f>
        <x:v>HYPERLINK is not implemented. linkLocation=transcripts/WxPVXEsPMiY.html, friendlyName=Complete transcript</x:v>
      </x:c>
      <x:c r="F374" s="13" t="str">
        <x:v>PETE_EXPLICIT</x:v>
      </x:c>
      <x:c r="G374" s="17" t="str">
        <x:v>UNREVIEWED</x:v>
      </x:c>
      <x:c r="H374" s="17" t="str"/>
      <x:c r="I374" s="17" t="str"/>
      <x:c r="J374" s="17" t="str"/>
      <x:c r="K374" s="17" t="str"/>
      <x:c r="L374" s="17" t="str"/>
      <x:c r="M374" s="17" t="str">
        <x:v>PENDING WHOLE-VIDEO REVIEW</x:v>
      </x:c>
      <x:c r="N374" s="15" t="n">
        <x:v>110</x:v>
      </x:c>
      <x:c r="O374" s="15" t="n">
        <x:v>833</x:v>
      </x:c>
      <x:c r="P374" s="15" t="n">
        <x:v>230</x:v>
      </x:c>
      <x:c r="Q374" s="13" t="str">
        <x:v>NO_LARGE_TAIL_GAP</x:v>
      </x:c>
      <x:c r="R374" s="13" t="str"/>
      <x:c r="S374" s="16" t="n">
        <x:v>4</x:v>
      </x:c>
      <x:c r="T374" s="13" t="str">
        <x:v>6a05f373e6113ea75efbc86284a82b503975d6c1176df871f5e84f8f3511a700</x:v>
      </x:c>
    </x:row>
    <x:row r="375" ht="15" hidden="0" customHeight="1">
      <x:c r="A375" s="13" t="str">
        <x:v>X-DeMqNYd4w</x:v>
      </x:c>
      <x:c r="B375" s="13" t="str">
        <x:v>The Repeatable Trading Edge Most Day Traders Never Find</x:v>
      </x:c>
      <x:c r="C375" s="14" t="d">
        <x:v>2025-12-28T00:00:00.000Z</x:v>
      </x:c>
      <x:c r="D375" s="18" t="e">
        <x:f>HYPERLINK("https://www.youtube.com/watch?v=X-DeMqNYd4w","Watch video")</x:f>
        <x:v>HYPERLINK is not implemented. linkLocation=https://www.youtube.com/watch?v=X-DeMqNYd4w, friendlyName=Watch video</x:v>
      </x:c>
      <x:c r="E375" s="18" t="e">
        <x:f>HYPERLINK("transcripts/X-DeMqNYd4w.html","Complete transcript")</x:f>
        <x:v>HYPERLINK is not implemented. linkLocation=transcripts/X-DeMqNYd4w.html, friendlyName=Complete transcript</x:v>
      </x:c>
      <x:c r="F375" s="13" t="str">
        <x:v>PETE_EXPLICIT</x:v>
      </x:c>
      <x:c r="G375" s="17" t="str">
        <x:v>UNREVIEWED</x:v>
      </x:c>
      <x:c r="H375" s="17" t="str"/>
      <x:c r="I375" s="17" t="str"/>
      <x:c r="J375" s="17" t="str"/>
      <x:c r="K375" s="17" t="str"/>
      <x:c r="L375" s="17" t="str"/>
      <x:c r="M375" s="17" t="str">
        <x:v>PENDING WHOLE-VIDEO REVIEW</x:v>
      </x:c>
      <x:c r="N375" s="15" t="n">
        <x:v>975</x:v>
      </x:c>
      <x:c r="O375" s="15" t="n">
        <x:v>6835</x:v>
      </x:c>
      <x:c r="P375" s="15" t="n">
        <x:v>2022</x:v>
      </x:c>
      <x:c r="Q375" s="13" t="str">
        <x:v>NO_LARGE_TAIL_GAP</x:v>
      </x:c>
      <x:c r="R375" s="13" t="str"/>
      <x:c r="S375" s="16" t="n">
        <x:v>0</x:v>
      </x:c>
      <x:c r="T375" s="13" t="str">
        <x:v>0ae6c72625d8c53c80b7fead19d7700a4b7dbcd4ebee96bafd970341bd6642db</x:v>
      </x:c>
    </x:row>
    <x:row r="376" ht="15" hidden="0" customHeight="1">
      <x:c r="A376" s="13" t="str">
        <x:v>X4ig0WQwsoE</x:v>
      </x:c>
      <x:c r="B376" s="13" t="str">
        <x:v>ROKU Trade Setup | Best Stock Picks Today 10-26-20</x:v>
      </x:c>
      <x:c r="C376" s="14" t="d">
        <x:v>2020-10-26T00:00:00.000Z</x:v>
      </x:c>
      <x:c r="D376" s="18" t="e">
        <x:f>HYPERLINK("https://www.youtube.com/watch?v=X4ig0WQwsoE","Watch video")</x:f>
        <x:v>HYPERLINK is not implemented. linkLocation=https://www.youtube.com/watch?v=X4ig0WQwsoE, friendlyName=Watch video</x:v>
      </x:c>
      <x:c r="E376" s="18" t="e">
        <x:f>HYPERLINK("transcripts/X4ig0WQwsoE.html","Complete transcript")</x:f>
        <x:v>HYPERLINK is not implemented. linkLocation=transcripts/X4ig0WQwsoE.html, friendlyName=Complete transcript</x:v>
      </x:c>
      <x:c r="F376" s="13" t="str">
        <x:v>PETE_EXPLICIT</x:v>
      </x:c>
      <x:c r="G376" s="17" t="str">
        <x:v>UNREVIEWED</x:v>
      </x:c>
      <x:c r="H376" s="17" t="str"/>
      <x:c r="I376" s="17" t="str"/>
      <x:c r="J376" s="17" t="str"/>
      <x:c r="K376" s="17" t="str"/>
      <x:c r="L376" s="17" t="str"/>
      <x:c r="M376" s="17" t="str">
        <x:v>PENDING WHOLE-VIDEO REVIEW</x:v>
      </x:c>
      <x:c r="N376" s="15" t="n">
        <x:v>382</x:v>
      </x:c>
      <x:c r="O376" s="15" t="n">
        <x:v>2459</x:v>
      </x:c>
      <x:c r="P376" s="15" t="n">
        <x:v>651</x:v>
      </x:c>
      <x:c r="Q376" s="13" t="str">
        <x:v>NO_LARGE_TAIL_GAP</x:v>
      </x:c>
      <x:c r="R376" s="13" t="str"/>
      <x:c r="S376" s="16" t="n">
        <x:v>0</x:v>
      </x:c>
      <x:c r="T376" s="13" t="str">
        <x:v>4971955242f6ed84a3cdf84fb7c4031006544d7be4059cb73ac61ec81620f8b1</x:v>
      </x:c>
    </x:row>
    <x:row r="377" ht="15" hidden="0" customHeight="1">
      <x:c r="A377" s="13" t="str">
        <x:v>X7foE1OhYPQ</x:v>
      </x:c>
      <x:c r="B377" s="13" t="str">
        <x:v>Content Marketing |  Small Business Formulas</x:v>
      </x:c>
      <x:c r="C377" s="14" t="d">
        <x:v>2015-09-09T00:00:00.000Z</x:v>
      </x:c>
      <x:c r="D377" s="18" t="e">
        <x:f>HYPERLINK("https://www.youtube.com/watch?v=X7foE1OhYPQ","Watch video")</x:f>
        <x:v>HYPERLINK is not implemented. linkLocation=https://www.youtube.com/watch?v=X7foE1OhYPQ, friendlyName=Watch video</x:v>
      </x:c>
      <x:c r="E377" s="18" t="e">
        <x:f>HYPERLINK("transcripts/X7foE1OhYPQ.html","Complete transcript")</x:f>
        <x:v>HYPERLINK is not implemented. linkLocation=transcripts/X7foE1OhYPQ.html, friendlyName=Complete transcript</x:v>
      </x:c>
      <x:c r="F377" s="13" t="str">
        <x:v>UNKNOWN_REQUIRES_REVIEW</x:v>
      </x:c>
      <x:c r="G377" s="17" t="str">
        <x:v>UNREVIEWED</x:v>
      </x:c>
      <x:c r="H377" s="17" t="str"/>
      <x:c r="I377" s="17" t="str"/>
      <x:c r="J377" s="17" t="str"/>
      <x:c r="K377" s="17" t="str"/>
      <x:c r="L377" s="17" t="str"/>
      <x:c r="M377" s="17" t="str">
        <x:v>PENDING WHOLE-VIDEO REVIEW</x:v>
      </x:c>
      <x:c r="N377" s="15" t="n">
        <x:v>804</x:v>
      </x:c>
      <x:c r="O377" s="15" t="n">
        <x:v>5723</x:v>
      </x:c>
      <x:c r="P377" s="15" t="n">
        <x:v>1688</x:v>
      </x:c>
      <x:c r="Q377" s="13" t="str">
        <x:v>NO_LARGE_TAIL_GAP</x:v>
      </x:c>
      <x:c r="R377" s="13" t="str"/>
      <x:c r="S377" s="16" t="n">
        <x:v>0</x:v>
      </x:c>
      <x:c r="T377" s="13" t="str">
        <x:v>0f58198ca63fe8165ca56f9bd0fbc4167eabc9b956bd751430ab04df8e00cf6a</x:v>
      </x:c>
    </x:row>
    <x:row r="378" ht="15" hidden="0" customHeight="1">
      <x:c r="A378" s="13" t="str">
        <x:v>X8cyfe5m4Y8</x:v>
      </x:c>
      <x:c r="B378" s="13" t="str">
        <x:v>Best Stock Picks Today | SPCE + ARKX ETF 1-14-21</x:v>
      </x:c>
      <x:c r="C378" s="14" t="d">
        <x:v>2021-01-14T00:00:00.000Z</x:v>
      </x:c>
      <x:c r="D378" s="18" t="e">
        <x:f>HYPERLINK("https://www.youtube.com/watch?v=X8cyfe5m4Y8","Watch video")</x:f>
        <x:v>HYPERLINK is not implemented. linkLocation=https://www.youtube.com/watch?v=X8cyfe5m4Y8, friendlyName=Watch video</x:v>
      </x:c>
      <x:c r="E378" s="18" t="e">
        <x:f>HYPERLINK("transcripts/X8cyfe5m4Y8.html","Complete transcript")</x:f>
        <x:v>HYPERLINK is not implemented. linkLocation=transcripts/X8cyfe5m4Y8.html, friendlyName=Complete transcript</x:v>
      </x:c>
      <x:c r="F378" s="13" t="str">
        <x:v>PETE_EXPLICIT</x:v>
      </x:c>
      <x:c r="G378" s="17" t="str">
        <x:v>UNREVIEWED</x:v>
      </x:c>
      <x:c r="H378" s="17" t="str"/>
      <x:c r="I378" s="17" t="str"/>
      <x:c r="J378" s="17" t="str"/>
      <x:c r="K378" s="17" t="str"/>
      <x:c r="L378" s="17" t="str"/>
      <x:c r="M378" s="17" t="str">
        <x:v>PENDING WHOLE-VIDEO REVIEW</x:v>
      </x:c>
      <x:c r="N378" s="15" t="n">
        <x:v>521</x:v>
      </x:c>
      <x:c r="O378" s="15" t="n">
        <x:v>3224</x:v>
      </x:c>
      <x:c r="P378" s="15" t="n">
        <x:v>923</x:v>
      </x:c>
      <x:c r="Q378" s="13" t="str">
        <x:v>NO_LARGE_TAIL_GAP</x:v>
      </x:c>
      <x:c r="R378" s="13" t="str"/>
      <x:c r="S378" s="16" t="n">
        <x:v>0</x:v>
      </x:c>
      <x:c r="T378" s="13" t="str">
        <x:v>ee6ee722547486e92736583bb058e0a16abdb2cec696b5c88e6fe87ae1f73107</x:v>
      </x:c>
    </x:row>
    <x:row r="379" ht="15" hidden="0" customHeight="1">
      <x:c r="A379" s="13" t="str">
        <x:v>XGnKs3xUmBw</x:v>
      </x:c>
      <x:c r="B379" s="13" t="str">
        <x:v>Missed the Move? Here’s a Better Way to Enter Tesla</x:v>
      </x:c>
      <x:c r="C379" s="14" t="d">
        <x:v>2025-11-20T00:00:00.000Z</x:v>
      </x:c>
      <x:c r="D379" s="18" t="e">
        <x:f>HYPERLINK("https://www.youtube.com/watch?v=XGnKs3xUmBw","Watch video")</x:f>
        <x:v>HYPERLINK is not implemented. linkLocation=https://www.youtube.com/watch?v=XGnKs3xUmBw, friendlyName=Watch video</x:v>
      </x:c>
      <x:c r="E379" s="18" t="e">
        <x:f>HYPERLINK("transcripts/XGnKs3xUmBw.html","Complete transcript")</x:f>
        <x:v>HYPERLINK is not implemented. linkLocation=transcripts/XGnKs3xUmBw.html, friendlyName=Complete transcript</x:v>
      </x:c>
      <x:c r="F379" s="13" t="str">
        <x:v>UNKNOWN_REQUIRES_REVIEW</x:v>
      </x:c>
      <x:c r="G379" s="17" t="str">
        <x:v>UNREVIEWED</x:v>
      </x:c>
      <x:c r="H379" s="17" t="str"/>
      <x:c r="I379" s="17" t="str"/>
      <x:c r="J379" s="17" t="str"/>
      <x:c r="K379" s="17" t="str"/>
      <x:c r="L379" s="17" t="str"/>
      <x:c r="M379" s="17" t="str">
        <x:v>PENDING WHOLE-VIDEO REVIEW</x:v>
      </x:c>
      <x:c r="N379" s="15" t="n">
        <x:v>276</x:v>
      </x:c>
      <x:c r="O379" s="15" t="n">
        <x:v>1962</x:v>
      </x:c>
      <x:c r="P379" s="15" t="n">
        <x:v>625</x:v>
      </x:c>
      <x:c r="Q379" s="13" t="str">
        <x:v>NO_LARGE_TAIL_GAP</x:v>
      </x:c>
      <x:c r="R379" s="13" t="str"/>
      <x:c r="S379" s="16" t="n">
        <x:v>0</x:v>
      </x:c>
      <x:c r="T379" s="13" t="str">
        <x:v>2bce068872c7613039e0258dbdb3958e8ac83e6771f7f3dbc2b26a70fd51465e</x:v>
      </x:c>
    </x:row>
    <x:row r="380" ht="15" hidden="0" customHeight="1">
      <x:c r="A380" s="13" t="str">
        <x:v>XPyyGGe6nm8</x:v>
      </x:c>
      <x:c r="B380" s="13" t="str">
        <x:v>Day Trading Strategy or Swing Trading Strategy? Which is right for you?</x:v>
      </x:c>
      <x:c r="C380" s="14" t="d">
        <x:v>2021-01-04T00:00:00.000Z</x:v>
      </x:c>
      <x:c r="D380" s="18" t="e">
        <x:f>HYPERLINK("https://www.youtube.com/watch?v=XPyyGGe6nm8","Watch video")</x:f>
        <x:v>HYPERLINK is not implemented. linkLocation=https://www.youtube.com/watch?v=XPyyGGe6nm8, friendlyName=Watch video</x:v>
      </x:c>
      <x:c r="E380" s="18" t="e">
        <x:f>HYPERLINK("transcripts/XPyyGGe6nm8.html","Complete transcript")</x:f>
        <x:v>HYPERLINK is not implemented. linkLocation=transcripts/XPyyGGe6nm8.html, friendlyName=Complete transcript</x:v>
      </x:c>
      <x:c r="F380" s="13" t="str">
        <x:v>PETE_EXPLICIT</x:v>
      </x:c>
      <x:c r="G380" s="17" t="str">
        <x:v>UNREVIEWED</x:v>
      </x:c>
      <x:c r="H380" s="17" t="str"/>
      <x:c r="I380" s="17" t="str"/>
      <x:c r="J380" s="17" t="str"/>
      <x:c r="K380" s="17" t="str"/>
      <x:c r="L380" s="17" t="str"/>
      <x:c r="M380" s="17" t="str">
        <x:v>PENDING WHOLE-VIDEO REVIEW</x:v>
      </x:c>
      <x:c r="N380" s="15" t="n">
        <x:v>705</x:v>
      </x:c>
      <x:c r="O380" s="15" t="n">
        <x:v>4359</x:v>
      </x:c>
      <x:c r="P380" s="15" t="n">
        <x:v>1289</x:v>
      </x:c>
      <x:c r="Q380" s="13" t="str">
        <x:v>NO_LARGE_TAIL_GAP</x:v>
      </x:c>
      <x:c r="R380" s="13" t="str"/>
      <x:c r="S380" s="16" t="n">
        <x:v>0</x:v>
      </x:c>
      <x:c r="T380" s="13" t="str">
        <x:v>5746409f27d1cc9c3bb230b93d0050e614776ed7de57d328dfc214449ab6feb0</x:v>
      </x:c>
    </x:row>
    <x:row r="381" ht="15" hidden="0" customHeight="1">
      <x:c r="A381" s="13" t="str">
        <x:v>XWFJjvvLM-M</x:v>
      </x:c>
      <x:c r="B381" s="13" t="str">
        <x:v>Best Stock Picks 4 2 20 | Bear Market Trading</x:v>
      </x:c>
      <x:c r="C381" s="14" t="d">
        <x:v>2020-04-01T00:00:00.000Z</x:v>
      </x:c>
      <x:c r="D381" s="18" t="e">
        <x:f>HYPERLINK("https://www.youtube.com/watch?v=XWFJjvvLM-M","Watch video")</x:f>
        <x:v>HYPERLINK is not implemented. linkLocation=https://www.youtube.com/watch?v=XWFJjvvLM-M, friendlyName=Watch video</x:v>
      </x:c>
      <x:c r="E381" s="18" t="e">
        <x:f>HYPERLINK("transcripts/XWFJjvvLM-M.html","Complete transcript")</x:f>
        <x:v>HYPERLINK is not implemented. linkLocation=transcripts/XWFJjvvLM-M.html, friendlyName=Complete transcript</x:v>
      </x:c>
      <x:c r="F381" s="13" t="str">
        <x:v>UNKNOWN_REQUIRES_REVIEW</x:v>
      </x:c>
      <x:c r="G381" s="17" t="str">
        <x:v>UNREVIEWED</x:v>
      </x:c>
      <x:c r="H381" s="17" t="str"/>
      <x:c r="I381" s="17" t="str"/>
      <x:c r="J381" s="17" t="str"/>
      <x:c r="K381" s="17" t="str"/>
      <x:c r="L381" s="17" t="str"/>
      <x:c r="M381" s="17" t="str">
        <x:v>PENDING WHOLE-VIDEO REVIEW</x:v>
      </x:c>
      <x:c r="N381" s="15" t="n">
        <x:v>583</x:v>
      </x:c>
      <x:c r="O381" s="15" t="n">
        <x:v>4263</x:v>
      </x:c>
      <x:c r="P381" s="15" t="n">
        <x:v>1209</x:v>
      </x:c>
      <x:c r="Q381" s="13" t="str">
        <x:v>NO_LARGE_TAIL_GAP</x:v>
      </x:c>
      <x:c r="R381" s="13" t="str"/>
      <x:c r="S381" s="16" t="n">
        <x:v>0</x:v>
      </x:c>
      <x:c r="T381" s="13" t="str">
        <x:v>dc11f79c580ec05508930f4f50ab45039e677b2e016209b93b7f641c48873809</x:v>
      </x:c>
    </x:row>
    <x:row r="382" ht="15" hidden="0" customHeight="1">
      <x:c r="A382" s="13" t="str">
        <x:v>XYj3wZjSMcM</x:v>
      </x:c>
      <x:c r="B382" s="13" t="str">
        <x:v>Best Stock Picks Today PFE Vaccine News 101920</x:v>
      </x:c>
      <x:c r="C382" s="14" t="d">
        <x:v>2020-10-19T00:00:00.000Z</x:v>
      </x:c>
      <x:c r="D382" s="18" t="e">
        <x:f>HYPERLINK("https://www.youtube.com/watch?v=XYj3wZjSMcM","Watch video")</x:f>
        <x:v>HYPERLINK is not implemented. linkLocation=https://www.youtube.com/watch?v=XYj3wZjSMcM, friendlyName=Watch video</x:v>
      </x:c>
      <x:c r="E382" s="18" t="e">
        <x:f>HYPERLINK("transcripts/XYj3wZjSMcM.html","Complete transcript")</x:f>
        <x:v>HYPERLINK is not implemented. linkLocation=transcripts/XYj3wZjSMcM.html, friendlyName=Complete transcript</x:v>
      </x:c>
      <x:c r="F382" s="13" t="str">
        <x:v>PETE_EXPLICIT</x:v>
      </x:c>
      <x:c r="G382" s="17" t="str">
        <x:v>UNREVIEWED</x:v>
      </x:c>
      <x:c r="H382" s="17" t="str"/>
      <x:c r="I382" s="17" t="str"/>
      <x:c r="J382" s="17" t="str"/>
      <x:c r="K382" s="17" t="str"/>
      <x:c r="L382" s="17" t="str"/>
      <x:c r="M382" s="17" t="str">
        <x:v>PENDING WHOLE-VIDEO REVIEW</x:v>
      </x:c>
      <x:c r="N382" s="15" t="n">
        <x:v>346</x:v>
      </x:c>
      <x:c r="O382" s="15" t="n">
        <x:v>2175</x:v>
      </x:c>
      <x:c r="P382" s="15" t="n">
        <x:v>637</x:v>
      </x:c>
      <x:c r="Q382" s="13" t="str">
        <x:v>NO_LARGE_TAIL_GAP</x:v>
      </x:c>
      <x:c r="R382" s="13" t="str"/>
      <x:c r="S382" s="16" t="n">
        <x:v>0</x:v>
      </x:c>
      <x:c r="T382" s="13" t="str">
        <x:v>00ce84e897da189369f39d8d892e5355202ccb67167535015c6335f700101cf4</x:v>
      </x:c>
    </x:row>
    <x:row r="383" ht="15" hidden="0" customHeight="1">
      <x:c r="A383" s="13" t="str">
        <x:v>XaZ5OvZu6Os</x:v>
      </x:c>
      <x:c r="B383" s="13" t="str">
        <x:v>Stock Trading Profit Targets | Stocks for Breakfast</x:v>
      </x:c>
      <x:c r="C383" s="14" t="d">
        <x:v>2020-11-30T00:00:00.000Z</x:v>
      </x:c>
      <x:c r="D383" s="18" t="e">
        <x:f>HYPERLINK("https://www.youtube.com/watch?v=XaZ5OvZu6Os","Watch video")</x:f>
        <x:v>HYPERLINK is not implemented. linkLocation=https://www.youtube.com/watch?v=XaZ5OvZu6Os, friendlyName=Watch video</x:v>
      </x:c>
      <x:c r="E383" s="18" t="e">
        <x:f>HYPERLINK("transcripts/XaZ5OvZu6Os.html","Complete transcript")</x:f>
        <x:v>HYPERLINK is not implemented. linkLocation=transcripts/XaZ5OvZu6Os.html, friendlyName=Complete transcript</x:v>
      </x:c>
      <x:c r="F383" s="13" t="str">
        <x:v>PETE_EXPLICIT</x:v>
      </x:c>
      <x:c r="G383" s="17" t="str">
        <x:v>UNREVIEWED</x:v>
      </x:c>
      <x:c r="H383" s="17" t="str"/>
      <x:c r="I383" s="17" t="str"/>
      <x:c r="J383" s="17" t="str"/>
      <x:c r="K383" s="17" t="str"/>
      <x:c r="L383" s="17" t="str"/>
      <x:c r="M383" s="17" t="str">
        <x:v>PENDING WHOLE-VIDEO REVIEW</x:v>
      </x:c>
      <x:c r="N383" s="15" t="n">
        <x:v>679</x:v>
      </x:c>
      <x:c r="O383" s="15" t="n">
        <x:v>4113</x:v>
      </x:c>
      <x:c r="P383" s="15" t="n">
        <x:v>1217</x:v>
      </x:c>
      <x:c r="Q383" s="13" t="str">
        <x:v>NO_LARGE_TAIL_GAP</x:v>
      </x:c>
      <x:c r="R383" s="13" t="str"/>
      <x:c r="S383" s="16" t="n">
        <x:v>0</x:v>
      </x:c>
      <x:c r="T383" s="13" t="str">
        <x:v>966a3aed8f75a51883c879e44c40f1a5f293ac8629570e325fe41508673a68d2</x:v>
      </x:c>
    </x:row>
    <x:row r="384" ht="15" hidden="0" customHeight="1">
      <x:c r="A384" s="13" t="str">
        <x:v>XeKrR_y3wVY</x:v>
      </x:c>
      <x:c r="B384" s="13" t="str">
        <x:v>Stock Trading Made Easier | Multiple Time Frames</x:v>
      </x:c>
      <x:c r="C384" s="14" t="d">
        <x:v>2020-09-30T00:00:00.000Z</x:v>
      </x:c>
      <x:c r="D384" s="18" t="e">
        <x:f>HYPERLINK("https://www.youtube.com/watch?v=XeKrR_y3wVY","Watch video")</x:f>
        <x:v>HYPERLINK is not implemented. linkLocation=https://www.youtube.com/watch?v=XeKrR_y3wVY, friendlyName=Watch video</x:v>
      </x:c>
      <x:c r="E384" s="18" t="e">
        <x:f>HYPERLINK("transcripts/XeKrR_y3wVY.html","Complete transcript")</x:f>
        <x:v>HYPERLINK is not implemented. linkLocation=transcripts/XeKrR_y3wVY.html, friendlyName=Complete transcript</x:v>
      </x:c>
      <x:c r="F384" s="13" t="str">
        <x:v>PETE_EXPLICIT</x:v>
      </x:c>
      <x:c r="G384" s="17" t="str">
        <x:v>UNREVIEWED</x:v>
      </x:c>
      <x:c r="H384" s="17" t="str"/>
      <x:c r="I384" s="17" t="str"/>
      <x:c r="J384" s="17" t="str"/>
      <x:c r="K384" s="17" t="str"/>
      <x:c r="L384" s="17" t="str"/>
      <x:c r="M384" s="17" t="str">
        <x:v>PENDING WHOLE-VIDEO REVIEW</x:v>
      </x:c>
      <x:c r="N384" s="15" t="n">
        <x:v>416</x:v>
      </x:c>
      <x:c r="O384" s="15" t="n">
        <x:v>2452</x:v>
      </x:c>
      <x:c r="P384" s="15" t="n">
        <x:v>757</x:v>
      </x:c>
      <x:c r="Q384" s="13" t="str">
        <x:v>NO_LARGE_TAIL_GAP</x:v>
      </x:c>
      <x:c r="R384" s="13" t="str"/>
      <x:c r="S384" s="16" t="n">
        <x:v>0</x:v>
      </x:c>
      <x:c r="T384" s="13" t="str">
        <x:v>4d5562225a97414de7276e217a6b7c6db282ec25ae7db0c25bf128d20dded051</x:v>
      </x:c>
    </x:row>
    <x:row r="385" ht="15" hidden="0" customHeight="1">
      <x:c r="A385" s="13" t="str">
        <x:v>XoL3P8Q-cMA</x:v>
      </x:c>
      <x:c r="B385" s="13" t="str">
        <x:v>Maximize Trading Profits: ATR Targets, Trailing Stops Explained</x:v>
      </x:c>
      <x:c r="C385" s="14" t="d">
        <x:v>2020-09-11T00:00:00.000Z</x:v>
      </x:c>
      <x:c r="D385" s="18" t="e">
        <x:f>HYPERLINK("https://www.youtube.com/watch?v=XoL3P8Q-cMA","Watch video")</x:f>
        <x:v>HYPERLINK is not implemented. linkLocation=https://www.youtube.com/watch?v=XoL3P8Q-cMA, friendlyName=Watch video</x:v>
      </x:c>
      <x:c r="E385" s="18" t="e">
        <x:f>HYPERLINK("transcripts/XoL3P8Q-cMA.html","Complete transcript")</x:f>
        <x:v>HYPERLINK is not implemented. linkLocation=transcripts/XoL3P8Q-cMA.html, friendlyName=Complete transcript</x:v>
      </x:c>
      <x:c r="F385" s="13" t="str">
        <x:v>PETE_EXPLICIT</x:v>
      </x:c>
      <x:c r="G385" s="17" t="str">
        <x:v>UNREVIEWED</x:v>
      </x:c>
      <x:c r="H385" s="17" t="str"/>
      <x:c r="I385" s="17" t="str"/>
      <x:c r="J385" s="17" t="str"/>
      <x:c r="K385" s="17" t="str"/>
      <x:c r="L385" s="17" t="str"/>
      <x:c r="M385" s="17" t="str">
        <x:v>PENDING WHOLE-VIDEO REVIEW</x:v>
      </x:c>
      <x:c r="N385" s="15" t="n">
        <x:v>553</x:v>
      </x:c>
      <x:c r="O385" s="15" t="n">
        <x:v>3409</x:v>
      </x:c>
      <x:c r="P385" s="15" t="n">
        <x:v>974</x:v>
      </x:c>
      <x:c r="Q385" s="13" t="str">
        <x:v>NO_LARGE_TAIL_GAP</x:v>
      </x:c>
      <x:c r="R385" s="13" t="str"/>
      <x:c r="S385" s="16" t="n">
        <x:v>0</x:v>
      </x:c>
      <x:c r="T385" s="13" t="str">
        <x:v>a82ea9de1dbd0dc0faa426058196639ec4c1a5b44e458947d1d0652837ee6f00</x:v>
      </x:c>
    </x:row>
    <x:row r="386" ht="15" hidden="0" customHeight="1">
      <x:c r="A386" s="13" t="str">
        <x:v>Y-myMcD527s</x:v>
      </x:c>
      <x:c r="B386" s="13" t="str">
        <x:v>Bitcoin Mining Stocks Crash After Elon Musk Tweet</x:v>
      </x:c>
      <x:c r="C386" s="14" t="d">
        <x:v>2021-06-04T00:00:00.000Z</x:v>
      </x:c>
      <x:c r="D386" s="18" t="e">
        <x:f>HYPERLINK("https://www.youtube.com/watch?v=Y-myMcD527s","Watch video")</x:f>
        <x:v>HYPERLINK is not implemented. linkLocation=https://www.youtube.com/watch?v=Y-myMcD527s, friendlyName=Watch video</x:v>
      </x:c>
      <x:c r="E386" s="18" t="e">
        <x:f>HYPERLINK("transcripts/Y-myMcD527s.html","Complete transcript")</x:f>
        <x:v>HYPERLINK is not implemented. linkLocation=transcripts/Y-myMcD527s.html, friendlyName=Complete transcript</x:v>
      </x:c>
      <x:c r="F386" s="13" t="str">
        <x:v>PETE_EXPLICIT</x:v>
      </x:c>
      <x:c r="G386" s="17" t="str">
        <x:v>UNREVIEWED</x:v>
      </x:c>
      <x:c r="H386" s="17" t="str"/>
      <x:c r="I386" s="17" t="str"/>
      <x:c r="J386" s="17" t="str"/>
      <x:c r="K386" s="17" t="str"/>
      <x:c r="L386" s="17" t="str"/>
      <x:c r="M386" s="17" t="str">
        <x:v>PENDING WHOLE-VIDEO REVIEW</x:v>
      </x:c>
      <x:c r="N386" s="15" t="n">
        <x:v>672</x:v>
      </x:c>
      <x:c r="O386" s="15" t="n">
        <x:v>4273</x:v>
      </x:c>
      <x:c r="P386" s="15" t="n">
        <x:v>1180</x:v>
      </x:c>
      <x:c r="Q386" s="13" t="str">
        <x:v>NO_LARGE_TAIL_GAP</x:v>
      </x:c>
      <x:c r="R386" s="13" t="str"/>
      <x:c r="S386" s="16" t="n">
        <x:v>0</x:v>
      </x:c>
      <x:c r="T386" s="13" t="str">
        <x:v>b050d3bd2586abbc518db9cb8dabc1099f5ec3442a6ae68db97aabd74c019ab3</x:v>
      </x:c>
    </x:row>
    <x:row r="387" ht="15" hidden="0" customHeight="1">
      <x:c r="A387" s="13" t="str">
        <x:v>Y3DvNzTwohI</x:v>
      </x:c>
      <x:c r="B387" s="13" t="str">
        <x:v>Options Trading: Having Edge Into Earnings</x:v>
      </x:c>
      <x:c r="C387" s="14" t="d">
        <x:v>2024-07-10T00:00:00.000Z</x:v>
      </x:c>
      <x:c r="D387" s="18" t="e">
        <x:f>HYPERLINK("https://www.youtube.com/watch?v=Y3DvNzTwohI","Watch video")</x:f>
        <x:v>HYPERLINK is not implemented. linkLocation=https://www.youtube.com/watch?v=Y3DvNzTwohI, friendlyName=Watch video</x:v>
      </x:c>
      <x:c r="E387" s="18" t="e">
        <x:f>HYPERLINK("transcripts/Y3DvNzTwohI.html","Complete transcript")</x:f>
        <x:v>HYPERLINK is not implemented. linkLocation=transcripts/Y3DvNzTwohI.html, friendlyName=Complete transcript</x:v>
      </x:c>
      <x:c r="F387" s="13" t="str">
        <x:v>NON_PETE_EXPLICIT_JOHN</x:v>
      </x:c>
      <x:c r="G387" s="17" t="str">
        <x:v>UNREVIEWED</x:v>
      </x:c>
      <x:c r="H387" s="17" t="str"/>
      <x:c r="I387" s="17" t="str"/>
      <x:c r="J387" s="17" t="str"/>
      <x:c r="K387" s="17" t="str"/>
      <x:c r="L387" s="17" t="str"/>
      <x:c r="M387" s="17" t="str">
        <x:v>PENDING WHOLE-VIDEO REVIEW</x:v>
      </x:c>
      <x:c r="N387" s="15" t="n">
        <x:v>275</x:v>
      </x:c>
      <x:c r="O387" s="15" t="n">
        <x:v>2075</x:v>
      </x:c>
      <x:c r="P387" s="15" t="n">
        <x:v>607</x:v>
      </x:c>
      <x:c r="Q387" s="13" t="str">
        <x:v>NO_LARGE_TAIL_GAP</x:v>
      </x:c>
      <x:c r="R387" s="13" t="str"/>
      <x:c r="S387" s="16" t="n">
        <x:v>0</x:v>
      </x:c>
      <x:c r="T387" s="13" t="str">
        <x:v>a82bf53e1bb1248d61c4edf0842490bb9ea87aca9a59b97c78b20781892cb497</x:v>
      </x:c>
    </x:row>
    <x:row r="388" ht="15" hidden="0" customHeight="1">
      <x:c r="A388" s="13" t="str">
        <x:v>YSdbX9Ylra8</x:v>
      </x:c>
      <x:c r="B388" s="13" t="str">
        <x:v>Options Trading for Beginners: Exiting Trades</x:v>
      </x:c>
      <x:c r="C388" s="14" t="d">
        <x:v>2024-07-10T00:00:00.000Z</x:v>
      </x:c>
      <x:c r="D388" s="18" t="e">
        <x:f>HYPERLINK("https://www.youtube.com/watch?v=YSdbX9Ylra8","Watch video")</x:f>
        <x:v>HYPERLINK is not implemented. linkLocation=https://www.youtube.com/watch?v=YSdbX9Ylra8, friendlyName=Watch video</x:v>
      </x:c>
      <x:c r="E388" s="18" t="e">
        <x:f>HYPERLINK("transcripts/YSdbX9Ylra8.html","Complete transcript")</x:f>
        <x:v>HYPERLINK is not implemented. linkLocation=transcripts/YSdbX9Ylra8.html, friendlyName=Complete transcript</x:v>
      </x:c>
      <x:c r="F388" s="13" t="str">
        <x:v>NON_PETE_EXPLICIT_JOHN</x:v>
      </x:c>
      <x:c r="G388" s="17" t="str">
        <x:v>UNREVIEWED</x:v>
      </x:c>
      <x:c r="H388" s="17" t="str"/>
      <x:c r="I388" s="17" t="str"/>
      <x:c r="J388" s="17" t="str"/>
      <x:c r="K388" s="17" t="str"/>
      <x:c r="L388" s="17" t="str"/>
      <x:c r="M388" s="17" t="str">
        <x:v>PENDING WHOLE-VIDEO REVIEW</x:v>
      </x:c>
      <x:c r="N388" s="15" t="n">
        <x:v>215</x:v>
      </x:c>
      <x:c r="O388" s="15" t="n">
        <x:v>1642</x:v>
      </x:c>
      <x:c r="P388" s="15" t="n">
        <x:v>472</x:v>
      </x:c>
      <x:c r="Q388" s="13" t="str">
        <x:v>NO_LARGE_TAIL_GAP</x:v>
      </x:c>
      <x:c r="R388" s="13" t="str"/>
      <x:c r="S388" s="16" t="n">
        <x:v>0</x:v>
      </x:c>
      <x:c r="T388" s="13" t="str">
        <x:v>f58c47a6f70adc1e00d199ff2c855d8279e06b2105a9bc59b17c350ec6b78e8f</x:v>
      </x:c>
    </x:row>
    <x:row r="389" ht="15" hidden="0" customHeight="1">
      <x:c r="A389" s="13" t="str">
        <x:v>YZVVwFO2geo</x:v>
      </x:c>
      <x:c r="B389" s="13" t="str">
        <x:v>Stocks for Breakfast 2 27 20 | Day Trading VS Swing Trading. Which is Better?</x:v>
      </x:c>
      <x:c r="C389" s="14" t="d">
        <x:v>2020-02-27T00:00:00.000Z</x:v>
      </x:c>
      <x:c r="D389" s="18" t="e">
        <x:f>HYPERLINK("https://www.youtube.com/watch?v=YZVVwFO2geo","Watch video")</x:f>
        <x:v>HYPERLINK is not implemented. linkLocation=https://www.youtube.com/watch?v=YZVVwFO2geo, friendlyName=Watch video</x:v>
      </x:c>
      <x:c r="E389" s="18" t="e">
        <x:f>HYPERLINK("transcripts/YZVVwFO2geo.html","Complete transcript")</x:f>
        <x:v>HYPERLINK is not implemented. linkLocation=transcripts/YZVVwFO2geo.html, friendlyName=Complete transcript</x:v>
      </x:c>
      <x:c r="F389" s="13" t="str">
        <x:v>UNKNOWN_REQUIRES_REVIEW</x:v>
      </x:c>
      <x:c r="G389" s="17" t="str">
        <x:v>UNREVIEWED</x:v>
      </x:c>
      <x:c r="H389" s="17" t="str"/>
      <x:c r="I389" s="17" t="str"/>
      <x:c r="J389" s="17" t="str"/>
      <x:c r="K389" s="17" t="str"/>
      <x:c r="L389" s="17" t="str"/>
      <x:c r="M389" s="17" t="str">
        <x:v>PENDING WHOLE-VIDEO REVIEW</x:v>
      </x:c>
      <x:c r="N389" s="15" t="n">
        <x:v>517</x:v>
      </x:c>
      <x:c r="O389" s="15" t="n">
        <x:v>3669</x:v>
      </x:c>
      <x:c r="P389" s="15" t="n">
        <x:v>1159</x:v>
      </x:c>
      <x:c r="Q389" s="13" t="str">
        <x:v>NO_LARGE_TAIL_GAP</x:v>
      </x:c>
      <x:c r="R389" s="13" t="str"/>
      <x:c r="S389" s="16" t="n">
        <x:v>0</x:v>
      </x:c>
      <x:c r="T389" s="13" t="str">
        <x:v>d7df8a70486a1a984e3c4d58abd4aaacba27293455ab3b1d39e04e5566c5e2d0</x:v>
      </x:c>
    </x:row>
    <x:row r="390" ht="15" hidden="0" customHeight="1">
      <x:c r="A390" s="13" t="str">
        <x:v>YbOxB_rSsgE</x:v>
      </x:c>
      <x:c r="B390" s="13" t="str">
        <x:v>Options Trading Insights: How to Trade a Bear Market</x:v>
      </x:c>
      <x:c r="C390" s="14" t="d">
        <x:v>2024-07-10T00:00:00.000Z</x:v>
      </x:c>
      <x:c r="D390" s="18" t="e">
        <x:f>HYPERLINK("https://www.youtube.com/watch?v=YbOxB_rSsgE","Watch video")</x:f>
        <x:v>HYPERLINK is not implemented. linkLocation=https://www.youtube.com/watch?v=YbOxB_rSsgE, friendlyName=Watch video</x:v>
      </x:c>
      <x:c r="E390" s="18" t="e">
        <x:f>HYPERLINK("transcripts/YbOxB_rSsgE.html","Complete transcript")</x:f>
        <x:v>HYPERLINK is not implemented. linkLocation=transcripts/YbOxB_rSsgE.html, friendlyName=Complete transcript</x:v>
      </x:c>
      <x:c r="F390" s="13" t="str">
        <x:v>NON_PETE_EXPLICIT_JOHN</x:v>
      </x:c>
      <x:c r="G390" s="17" t="str">
        <x:v>UNREVIEWED</x:v>
      </x:c>
      <x:c r="H390" s="17" t="str"/>
      <x:c r="I390" s="17" t="str"/>
      <x:c r="J390" s="17" t="str"/>
      <x:c r="K390" s="17" t="str"/>
      <x:c r="L390" s="17" t="str"/>
      <x:c r="M390" s="17" t="str">
        <x:v>PENDING WHOLE-VIDEO REVIEW</x:v>
      </x:c>
      <x:c r="N390" s="15" t="n">
        <x:v>222</x:v>
      </x:c>
      <x:c r="O390" s="15" t="n">
        <x:v>1685</x:v>
      </x:c>
      <x:c r="P390" s="15" t="n">
        <x:v>509</x:v>
      </x:c>
      <x:c r="Q390" s="13" t="str">
        <x:v>NO_LARGE_TAIL_GAP</x:v>
      </x:c>
      <x:c r="R390" s="13" t="str"/>
      <x:c r="S390" s="16" t="n">
        <x:v>0</x:v>
      </x:c>
      <x:c r="T390" s="13" t="str">
        <x:v>82c180fb1a4df23600b1c97ad8dd1fe0f645c2867f6924c468134991a0c4041b</x:v>
      </x:c>
    </x:row>
    <x:row r="391" ht="15" hidden="0" customHeight="1">
      <x:c r="A391" s="13" t="str">
        <x:v>YyQp-mgzlXo</x:v>
      </x:c>
      <x:c r="B391" s="13" t="str">
        <x:v>Stop Moving Your Stop Loss! (Why You’re Killing Your Winners)</x:v>
      </x:c>
      <x:c r="C391" s="14" t="d">
        <x:v>2026-03-13T00:00:00.000Z</x:v>
      </x:c>
      <x:c r="D391" s="18" t="e">
        <x:f>HYPERLINK("https://www.youtube.com/watch?v=YyQp-mgzlXo","Watch video")</x:f>
        <x:v>HYPERLINK is not implemented. linkLocation=https://www.youtube.com/watch?v=YyQp-mgzlXo, friendlyName=Watch video</x:v>
      </x:c>
      <x:c r="E391" s="18" t="e">
        <x:f>HYPERLINK("transcripts/YyQp-mgzlXo.html","Complete transcript")</x:f>
        <x:v>HYPERLINK is not implemented. linkLocation=transcripts/YyQp-mgzlXo.html, friendlyName=Complete transcript</x:v>
      </x:c>
      <x:c r="F391" s="13" t="str">
        <x:v>UNKNOWN_REQUIRES_REVIEW</x:v>
      </x:c>
      <x:c r="G391" s="17" t="str">
        <x:v>UNREVIEWED</x:v>
      </x:c>
      <x:c r="H391" s="17" t="str"/>
      <x:c r="I391" s="17" t="str"/>
      <x:c r="J391" s="17" t="str"/>
      <x:c r="K391" s="17" t="str"/>
      <x:c r="L391" s="17" t="str"/>
      <x:c r="M391" s="17" t="str">
        <x:v>PENDING WHOLE-VIDEO REVIEW</x:v>
      </x:c>
      <x:c r="N391" s="15" t="n">
        <x:v>186</x:v>
      </x:c>
      <x:c r="O391" s="15" t="n">
        <x:v>1340</x:v>
      </x:c>
      <x:c r="P391" s="15" t="n">
        <x:v>424</x:v>
      </x:c>
      <x:c r="Q391" s="13" t="str">
        <x:v>NO_LARGE_TAIL_GAP</x:v>
      </x:c>
      <x:c r="R391" s="13" t="str"/>
      <x:c r="S391" s="16" t="n">
        <x:v>0</x:v>
      </x:c>
      <x:c r="T391" s="13" t="str">
        <x:v>50148f0b4c5d56403920e16d16306453ea99f8d680207d55d03cfa36f63f72da</x:v>
      </x:c>
    </x:row>
    <x:row r="392" ht="15" hidden="0" customHeight="1">
      <x:c r="A392" s="13" t="str">
        <x:v>Z0ybxCUJFnc</x:v>
      </x:c>
      <x:c r="B392" s="13" t="str">
        <x:v>How to optimize your trades for bigger monthly gains</x:v>
      </x:c>
      <x:c r="C392" s="14" t="d">
        <x:v>2024-12-13T00:00:00.000Z</x:v>
      </x:c>
      <x:c r="D392" s="18" t="e">
        <x:f>HYPERLINK("https://www.youtube.com/watch?v=Z0ybxCUJFnc","Watch video")</x:f>
        <x:v>HYPERLINK is not implemented. linkLocation=https://www.youtube.com/watch?v=Z0ybxCUJFnc, friendlyName=Watch video</x:v>
      </x:c>
      <x:c r="E392" s="18" t="e">
        <x:f>HYPERLINK("transcripts/Z0ybxCUJFnc.html","Complete transcript")</x:f>
        <x:v>HYPERLINK is not implemented. linkLocation=transcripts/Z0ybxCUJFnc.html, friendlyName=Complete transcript</x:v>
      </x:c>
      <x:c r="F392" s="13" t="str">
        <x:v>UNKNOWN_REQUIRES_REVIEW</x:v>
      </x:c>
      <x:c r="G392" s="17" t="str">
        <x:v>UNREVIEWED</x:v>
      </x:c>
      <x:c r="H392" s="17" t="str"/>
      <x:c r="I392" s="17" t="str"/>
      <x:c r="J392" s="17" t="str"/>
      <x:c r="K392" s="17" t="str"/>
      <x:c r="L392" s="17" t="str"/>
      <x:c r="M392" s="17" t="str">
        <x:v>PENDING WHOLE-VIDEO REVIEW</x:v>
      </x:c>
      <x:c r="N392" s="15" t="n">
        <x:v>572</x:v>
      </x:c>
      <x:c r="O392" s="15" t="n">
        <x:v>4344</x:v>
      </x:c>
      <x:c r="P392" s="15" t="n">
        <x:v>1185</x:v>
      </x:c>
      <x:c r="Q392" s="13" t="str">
        <x:v>NO_LARGE_TAIL_GAP</x:v>
      </x:c>
      <x:c r="R392" s="13" t="str"/>
      <x:c r="S392" s="16" t="n">
        <x:v>0</x:v>
      </x:c>
      <x:c r="T392" s="13" t="str">
        <x:v>9b797e12f418cb03ca3152f6eb7562ec313e318fa1ed4d84f38ec5d0dccb1ad5</x:v>
      </x:c>
    </x:row>
    <x:row r="393" ht="15" hidden="0" customHeight="1">
      <x:c r="A393" s="13" t="str">
        <x:v>Z82YBG0lZNg</x:v>
      </x:c>
      <x:c r="B393" s="13" t="str">
        <x:v>Your Complete Guide to Profitable Stock Trading [DOWNLOAD]</x:v>
      </x:c>
      <x:c r="C393" s="14" t="d">
        <x:v>2021-10-08T00:00:00.000Z</x:v>
      </x:c>
      <x:c r="D393" s="18" t="e">
        <x:f>HYPERLINK("https://www.youtube.com/watch?v=Z82YBG0lZNg","Watch video")</x:f>
        <x:v>HYPERLINK is not implemented. linkLocation=https://www.youtube.com/watch?v=Z82YBG0lZNg, friendlyName=Watch video</x:v>
      </x:c>
      <x:c r="E393" s="18" t="e">
        <x:f>HYPERLINK("transcripts/Z82YBG0lZNg.html","Complete transcript")</x:f>
        <x:v>HYPERLINK is not implemented. linkLocation=transcripts/Z82YBG0lZNg.html, friendlyName=Complete transcript</x:v>
      </x:c>
      <x:c r="F393" s="13" t="str">
        <x:v>PETE_EXPLICIT</x:v>
      </x:c>
      <x:c r="G393" s="17" t="str">
        <x:v>UNREVIEWED</x:v>
      </x:c>
      <x:c r="H393" s="17" t="str"/>
      <x:c r="I393" s="17" t="str"/>
      <x:c r="J393" s="17" t="str"/>
      <x:c r="K393" s="17" t="str"/>
      <x:c r="L393" s="17" t="str"/>
      <x:c r="M393" s="17" t="str">
        <x:v>PENDING WHOLE-VIDEO REVIEW</x:v>
      </x:c>
      <x:c r="N393" s="15" t="n">
        <x:v>145</x:v>
      </x:c>
      <x:c r="O393" s="15" t="n">
        <x:v>1075</x:v>
      </x:c>
      <x:c r="P393" s="15" t="n">
        <x:v>271</x:v>
      </x:c>
      <x:c r="Q393" s="13" t="str">
        <x:v>NO_LARGE_TAIL_GAP</x:v>
      </x:c>
      <x:c r="R393" s="13" t="str">
        <x:v>PROVISIONAL_DUPLICATE_01</x:v>
      </x:c>
      <x:c r="S393" s="16" t="n">
        <x:v>0</x:v>
      </x:c>
      <x:c r="T393" s="13" t="str">
        <x:v>759c7d3def7c3cbf0d320d7df6eb521ca2f2841dd7397ac6ae151ac573f91ad7</x:v>
      </x:c>
    </x:row>
    <x:row r="394" ht="15" hidden="0" customHeight="1">
      <x:c r="A394" s="13" t="str">
        <x:v>ZBDRslh3Vos</x:v>
      </x:c>
      <x:c r="B394" s="13" t="str">
        <x:v>Best Stock Picks Today | Snow (Snowflake) Stock 9-17-20</x:v>
      </x:c>
      <x:c r="C394" s="14" t="d">
        <x:v>2020-09-17T00:00:00.000Z</x:v>
      </x:c>
      <x:c r="D394" s="18" t="e">
        <x:f>HYPERLINK("https://www.youtube.com/watch?v=ZBDRslh3Vos","Watch video")</x:f>
        <x:v>HYPERLINK is not implemented. linkLocation=https://www.youtube.com/watch?v=ZBDRslh3Vos, friendlyName=Watch video</x:v>
      </x:c>
      <x:c r="E394" s="18" t="e">
        <x:f>HYPERLINK("transcripts/ZBDRslh3Vos.html","Complete transcript")</x:f>
        <x:v>HYPERLINK is not implemented. linkLocation=transcripts/ZBDRslh3Vos.html, friendlyName=Complete transcript</x:v>
      </x:c>
      <x:c r="F394" s="13" t="str">
        <x:v>PETE_EXPLICIT</x:v>
      </x:c>
      <x:c r="G394" s="17" t="str">
        <x:v>UNREVIEWED</x:v>
      </x:c>
      <x:c r="H394" s="17" t="str"/>
      <x:c r="I394" s="17" t="str"/>
      <x:c r="J394" s="17" t="str"/>
      <x:c r="K394" s="17" t="str"/>
      <x:c r="L394" s="17" t="str"/>
      <x:c r="M394" s="17" t="str">
        <x:v>PENDING WHOLE-VIDEO REVIEW</x:v>
      </x:c>
      <x:c r="N394" s="15" t="n">
        <x:v>357</x:v>
      </x:c>
      <x:c r="O394" s="15" t="n">
        <x:v>2168</x:v>
      </x:c>
      <x:c r="P394" s="15" t="n">
        <x:v>604</x:v>
      </x:c>
      <x:c r="Q394" s="13" t="str">
        <x:v>NO_LARGE_TAIL_GAP</x:v>
      </x:c>
      <x:c r="R394" s="13" t="str"/>
      <x:c r="S394" s="16" t="n">
        <x:v>0</x:v>
      </x:c>
      <x:c r="T394" s="13" t="str">
        <x:v>940c33c9f5688e114598f992b460eb6f04fc37a76c38adf7b72659328794f7cf</x:v>
      </x:c>
    </x:row>
    <x:row r="395" ht="15" hidden="0" customHeight="1">
      <x:c r="A395" s="13" t="str">
        <x:v>ZEoJLt6EbEs</x:v>
      </x:c>
      <x:c r="B395" s="13" t="str">
        <x:v>Goldman Sachs Earnings Report | 4-15-20 Stocks for Breakfast</x:v>
      </x:c>
      <x:c r="C395" s="14" t="d">
        <x:v>2020-04-15T00:00:00.000Z</x:v>
      </x:c>
      <x:c r="D395" s="18" t="e">
        <x:f>HYPERLINK("https://www.youtube.com/watch?v=ZEoJLt6EbEs","Watch video")</x:f>
        <x:v>HYPERLINK is not implemented. linkLocation=https://www.youtube.com/watch?v=ZEoJLt6EbEs, friendlyName=Watch video</x:v>
      </x:c>
      <x:c r="E395" s="18" t="e">
        <x:f>HYPERLINK("transcripts/ZEoJLt6EbEs.html","Complete transcript")</x:f>
        <x:v>HYPERLINK is not implemented. linkLocation=transcripts/ZEoJLt6EbEs.html, friendlyName=Complete transcript</x:v>
      </x:c>
      <x:c r="F395" s="13" t="str">
        <x:v>UNKNOWN_REQUIRES_REVIEW</x:v>
      </x:c>
      <x:c r="G395" s="17" t="str">
        <x:v>UNREVIEWED</x:v>
      </x:c>
      <x:c r="H395" s="17" t="str"/>
      <x:c r="I395" s="17" t="str"/>
      <x:c r="J395" s="17" t="str"/>
      <x:c r="K395" s="17" t="str"/>
      <x:c r="L395" s="17" t="str"/>
      <x:c r="M395" s="17" t="str">
        <x:v>PENDING WHOLE-VIDEO REVIEW</x:v>
      </x:c>
      <x:c r="N395" s="15" t="n">
        <x:v>705</x:v>
      </x:c>
      <x:c r="O395" s="15" t="n">
        <x:v>5067</x:v>
      </x:c>
      <x:c r="P395" s="15" t="n">
        <x:v>1559</x:v>
      </x:c>
      <x:c r="Q395" s="13" t="str">
        <x:v>NO_LARGE_TAIL_GAP</x:v>
      </x:c>
      <x:c r="R395" s="13" t="str"/>
      <x:c r="S395" s="16" t="n">
        <x:v>0</x:v>
      </x:c>
      <x:c r="T395" s="13" t="str">
        <x:v>e76bc11b109d08722405c3a8ee49d7b83a625419c0d864cbe6522e16455fa2cc</x:v>
      </x:c>
    </x:row>
    <x:row r="396" ht="15" hidden="0" customHeight="1">
      <x:c r="A396" s="13" t="str">
        <x:v>ZLG4r4CQPjM</x:v>
      </x:c>
      <x:c r="B396" s="13" t="str">
        <x:v>Level Up Your Day Trading: Tape Reading Tactics for Any Market</x:v>
      </x:c>
      <x:c r="C396" s="14" t="d">
        <x:v>2022-05-13T00:00:00.000Z</x:v>
      </x:c>
      <x:c r="D396" s="18" t="e">
        <x:f>HYPERLINK("https://www.youtube.com/watch?v=ZLG4r4CQPjM","Watch video")</x:f>
        <x:v>HYPERLINK is not implemented. linkLocation=https://www.youtube.com/watch?v=ZLG4r4CQPjM, friendlyName=Watch video</x:v>
      </x:c>
      <x:c r="E396" s="18" t="e">
        <x:f>HYPERLINK("transcripts/ZLG4r4CQPjM.html","Complete transcript")</x:f>
        <x:v>HYPERLINK is not implemented. linkLocation=transcripts/ZLG4r4CQPjM.html, friendlyName=Complete transcript</x:v>
      </x:c>
      <x:c r="F396" s="13" t="str">
        <x:v>PETE_EXPLICIT</x:v>
      </x:c>
      <x:c r="G396" s="17" t="str">
        <x:v>UNREVIEWED</x:v>
      </x:c>
      <x:c r="H396" s="17" t="str"/>
      <x:c r="I396" s="17" t="str"/>
      <x:c r="J396" s="17" t="str"/>
      <x:c r="K396" s="17" t="str"/>
      <x:c r="L396" s="17" t="str"/>
      <x:c r="M396" s="17" t="str">
        <x:v>PENDING WHOLE-VIDEO REVIEW</x:v>
      </x:c>
      <x:c r="N396" s="15" t="n">
        <x:v>381</x:v>
      </x:c>
      <x:c r="O396" s="15" t="n">
        <x:v>2521</x:v>
      </x:c>
      <x:c r="P396" s="15" t="n">
        <x:v>778</x:v>
      </x:c>
      <x:c r="Q396" s="13" t="str">
        <x:v>NO_LARGE_TAIL_GAP</x:v>
      </x:c>
      <x:c r="R396" s="13" t="str"/>
      <x:c r="S396" s="16" t="n">
        <x:v>0</x:v>
      </x:c>
      <x:c r="T396" s="13" t="str">
        <x:v>44444f0ec9a78e52ed158ce6b53158e4aa2cd700de0fd52a3817684c7a81a76d</x:v>
      </x:c>
    </x:row>
    <x:row r="397" ht="15" hidden="0" customHeight="1">
      <x:c r="A397" s="13" t="str">
        <x:v>ZVjeskoodLc</x:v>
      </x:c>
      <x:c r="B397" s="13" t="str">
        <x:v>DKNG Stock Draftkings 6-22-20 | Best Stock Picks Today</x:v>
      </x:c>
      <x:c r="C397" s="14" t="d">
        <x:v>2020-06-22T00:00:00.000Z</x:v>
      </x:c>
      <x:c r="D397" s="18" t="e">
        <x:f>HYPERLINK("https://www.youtube.com/watch?v=ZVjeskoodLc","Watch video")</x:f>
        <x:v>HYPERLINK is not implemented. linkLocation=https://www.youtube.com/watch?v=ZVjeskoodLc, friendlyName=Watch video</x:v>
      </x:c>
      <x:c r="E397" s="18" t="e">
        <x:f>HYPERLINK("transcripts/ZVjeskoodLc.html","Complete transcript")</x:f>
        <x:v>HYPERLINK is not implemented. linkLocation=transcripts/ZVjeskoodLc.html, friendlyName=Complete transcript</x:v>
      </x:c>
      <x:c r="F397" s="13" t="str">
        <x:v>UNKNOWN_REQUIRES_REVIEW</x:v>
      </x:c>
      <x:c r="G397" s="17" t="str">
        <x:v>UNREVIEWED</x:v>
      </x:c>
      <x:c r="H397" s="17" t="str"/>
      <x:c r="I397" s="17" t="str"/>
      <x:c r="J397" s="17" t="str"/>
      <x:c r="K397" s="17" t="str"/>
      <x:c r="L397" s="17" t="str"/>
      <x:c r="M397" s="17" t="str">
        <x:v>PENDING WHOLE-VIDEO REVIEW</x:v>
      </x:c>
      <x:c r="N397" s="15" t="n">
        <x:v>368</x:v>
      </x:c>
      <x:c r="O397" s="15" t="n">
        <x:v>2671</x:v>
      </x:c>
      <x:c r="P397" s="15" t="n">
        <x:v>780</x:v>
      </x:c>
      <x:c r="Q397" s="13" t="str">
        <x:v>NO_LARGE_TAIL_GAP</x:v>
      </x:c>
      <x:c r="R397" s="13" t="str"/>
      <x:c r="S397" s="16" t="n">
        <x:v>0</x:v>
      </x:c>
      <x:c r="T397" s="13" t="str">
        <x:v>e2cf6ab2cdf35c2a2a3a693aa8cb43e68635e0d60b8d1688349bdfb1f578e301</x:v>
      </x:c>
    </x:row>
    <x:row r="398" ht="15" hidden="0" customHeight="1">
      <x:c r="A398" s="13" t="str">
        <x:v>Z_mxU3o3h-Y</x:v>
      </x:c>
      <x:c r="B398" s="13" t="str">
        <x:v>Introduction to Technical Analysis for Beginners</x:v>
      </x:c>
      <x:c r="C398" s="14" t="d">
        <x:v>2021-02-03T00:00:00.000Z</x:v>
      </x:c>
      <x:c r="D398" s="18" t="e">
        <x:f>HYPERLINK("https://www.youtube.com/watch?v=Z_mxU3o3h-Y","Watch video")</x:f>
        <x:v>HYPERLINK is not implemented. linkLocation=https://www.youtube.com/watch?v=Z_mxU3o3h-Y, friendlyName=Watch video</x:v>
      </x:c>
      <x:c r="E398" s="18" t="e">
        <x:f>HYPERLINK("transcripts/Z_mxU3o3h-Y.html","Complete transcript")</x:f>
        <x:v>HYPERLINK is not implemented. linkLocation=transcripts/Z_mxU3o3h-Y.html, friendlyName=Complete transcript</x:v>
      </x:c>
      <x:c r="F398" s="13" t="str">
        <x:v>PETE_EXPLICIT</x:v>
      </x:c>
      <x:c r="G398" s="17" t="str">
        <x:v>UNREVIEWED</x:v>
      </x:c>
      <x:c r="H398" s="17" t="str"/>
      <x:c r="I398" s="17" t="str"/>
      <x:c r="J398" s="17" t="str"/>
      <x:c r="K398" s="17" t="str"/>
      <x:c r="L398" s="17" t="str"/>
      <x:c r="M398" s="17" t="str">
        <x:v>PENDING WHOLE-VIDEO REVIEW</x:v>
      </x:c>
      <x:c r="N398" s="15" t="n">
        <x:v>606</x:v>
      </x:c>
      <x:c r="O398" s="15" t="n">
        <x:v>3540</x:v>
      </x:c>
      <x:c r="P398" s="15" t="n">
        <x:v>1123</x:v>
      </x:c>
      <x:c r="Q398" s="13" t="str">
        <x:v>NO_LARGE_TAIL_GAP</x:v>
      </x:c>
      <x:c r="R398" s="13" t="str"/>
      <x:c r="S398" s="16" t="n">
        <x:v>0</x:v>
      </x:c>
      <x:c r="T398" s="13" t="str">
        <x:v>346d6c4afda752418e4760bc6b9091a8a1fce679c054df51a8ba37a7e0b2126e</x:v>
      </x:c>
    </x:row>
    <x:row r="399" ht="15" hidden="0" customHeight="1">
      <x:c r="A399" s="13" t="str">
        <x:v>ZbpKroy7Lmc</x:v>
      </x:c>
      <x:c r="B399" s="13" t="str">
        <x:v>Losing Money on 0DTE Options: Understand the Greeks in 10 Minutes</x:v>
      </x:c>
      <x:c r="C399" s="14" t="d">
        <x:v>2026-06-09T00:00:00.000Z</x:v>
      </x:c>
      <x:c r="D399" s="18" t="e">
        <x:f>HYPERLINK("https://www.youtube.com/watch?v=ZbpKroy7Lmc","Watch video")</x:f>
        <x:v>HYPERLINK is not implemented. linkLocation=https://www.youtube.com/watch?v=ZbpKroy7Lmc, friendlyName=Watch video</x:v>
      </x:c>
      <x:c r="E399" s="18" t="e">
        <x:f>HYPERLINK("transcripts/ZbpKroy7Lmc.html","Complete transcript")</x:f>
        <x:v>HYPERLINK is not implemented. linkLocation=transcripts/ZbpKroy7Lmc.html, friendlyName=Complete transcript</x:v>
      </x:c>
      <x:c r="F399" s="13" t="str">
        <x:v>UNKNOWN_REQUIRES_REVIEW</x:v>
      </x:c>
      <x:c r="G399" s="17" t="str">
        <x:v>UNREVIEWED</x:v>
      </x:c>
      <x:c r="H399" s="17" t="str"/>
      <x:c r="I399" s="17" t="str"/>
      <x:c r="J399" s="17" t="str"/>
      <x:c r="K399" s="17" t="str"/>
      <x:c r="L399" s="17" t="str"/>
      <x:c r="M399" s="17" t="str">
        <x:v>PENDING WHOLE-VIDEO REVIEW</x:v>
      </x:c>
      <x:c r="N399" s="15" t="n">
        <x:v>286</x:v>
      </x:c>
      <x:c r="O399" s="15" t="n">
        <x:v>1750</x:v>
      </x:c>
      <x:c r="P399" s="15" t="n">
        <x:v>559</x:v>
      </x:c>
      <x:c r="Q399" s="13" t="str">
        <x:v>NO_LARGE_TAIL_GAP</x:v>
      </x:c>
      <x:c r="R399" s="13" t="str"/>
      <x:c r="S399" s="16" t="n">
        <x:v>0</x:v>
      </x:c>
      <x:c r="T399" s="13" t="str">
        <x:v>fb595af9c47f9d5cd5a96cad20a29a51b403ae31cbf949d92906bdf510510bf9</x:v>
      </x:c>
    </x:row>
    <x:row r="400" ht="15" hidden="0" customHeight="1">
      <x:c r="A400" s="13" t="str">
        <x:v>Zpo2c3v3eRc</x:v>
      </x:c>
      <x:c r="B400" s="13" t="str">
        <x:v>Sector Rotation / Best Stocks to Buy Now / Week of 11 April 2022</x:v>
      </x:c>
      <x:c r="C400" s="14" t="d">
        <x:v>2022-04-10T00:00:00.000Z</x:v>
      </x:c>
      <x:c r="D400" s="18" t="e">
        <x:f>HYPERLINK("https://www.youtube.com/watch?v=Zpo2c3v3eRc","Watch video")</x:f>
        <x:v>HYPERLINK is not implemented. linkLocation=https://www.youtube.com/watch?v=Zpo2c3v3eRc, friendlyName=Watch video</x:v>
      </x:c>
      <x:c r="E400" s="18" t="e">
        <x:f>HYPERLINK("transcripts/Zpo2c3v3eRc.html","Complete transcript")</x:f>
        <x:v>HYPERLINK is not implemented. linkLocation=transcripts/Zpo2c3v3eRc.html, friendlyName=Complete transcript</x:v>
      </x:c>
      <x:c r="F400" s="13" t="str">
        <x:v>PETE_EXPLICIT</x:v>
      </x:c>
      <x:c r="G400" s="17" t="str">
        <x:v>UNREVIEWED</x:v>
      </x:c>
      <x:c r="H400" s="17" t="str"/>
      <x:c r="I400" s="17" t="str"/>
      <x:c r="J400" s="17" t="str"/>
      <x:c r="K400" s="17" t="str"/>
      <x:c r="L400" s="17" t="str"/>
      <x:c r="M400" s="17" t="str">
        <x:v>PENDING WHOLE-VIDEO REVIEW</x:v>
      </x:c>
      <x:c r="N400" s="15" t="n">
        <x:v>673</x:v>
      </x:c>
      <x:c r="O400" s="15" t="n">
        <x:v>4523</x:v>
      </x:c>
      <x:c r="P400" s="15" t="n">
        <x:v>1332</x:v>
      </x:c>
      <x:c r="Q400" s="13" t="str">
        <x:v>NO_LARGE_TAIL_GAP</x:v>
      </x:c>
      <x:c r="R400" s="13" t="str"/>
      <x:c r="S400" s="16" t="n">
        <x:v>0</x:v>
      </x:c>
      <x:c r="T400" s="13" t="str">
        <x:v>92e3ec827ae7b38478f6065fb739e2b73bbd31ec5ae5ea41a4fed8590f5289b1</x:v>
      </x:c>
    </x:row>
    <x:row r="401" ht="15" hidden="0" customHeight="1">
      <x:c r="A401" s="13" t="str">
        <x:v>_3AhNcun-vY</x:v>
      </x:c>
      <x:c r="B401" s="13" t="str">
        <x:v>Best Stock Picks Today | AZN Covid Vaccine Trade 12-30-20</x:v>
      </x:c>
      <x:c r="C401" s="14" t="d">
        <x:v>2020-12-30T00:00:00.000Z</x:v>
      </x:c>
      <x:c r="D401" s="18" t="e">
        <x:f>HYPERLINK("https://www.youtube.com/watch?v=_3AhNcun-vY","Watch video")</x:f>
        <x:v>HYPERLINK is not implemented. linkLocation=https://www.youtube.com/watch?v=_3AhNcun-vY, friendlyName=Watch video</x:v>
      </x:c>
      <x:c r="E401" s="18" t="e">
        <x:f>HYPERLINK("transcripts/_3AhNcun-vY.html","Complete transcript")</x:f>
        <x:v>HYPERLINK is not implemented. linkLocation=transcripts/_3AhNcun-vY.html, friendlyName=Complete transcript</x:v>
      </x:c>
      <x:c r="F401" s="13" t="str">
        <x:v>PETE_EXPLICIT</x:v>
      </x:c>
      <x:c r="G401" s="17" t="str">
        <x:v>UNREVIEWED</x:v>
      </x:c>
      <x:c r="H401" s="17" t="str"/>
      <x:c r="I401" s="17" t="str"/>
      <x:c r="J401" s="17" t="str"/>
      <x:c r="K401" s="17" t="str"/>
      <x:c r="L401" s="17" t="str"/>
      <x:c r="M401" s="17" t="str">
        <x:v>PENDING WHOLE-VIDEO REVIEW</x:v>
      </x:c>
      <x:c r="N401" s="15" t="n">
        <x:v>305</x:v>
      </x:c>
      <x:c r="O401" s="15" t="n">
        <x:v>1902</x:v>
      </x:c>
      <x:c r="P401" s="15" t="n">
        <x:v>530</x:v>
      </x:c>
      <x:c r="Q401" s="13" t="str">
        <x:v>NO_LARGE_TAIL_GAP</x:v>
      </x:c>
      <x:c r="R401" s="13" t="str"/>
      <x:c r="S401" s="16" t="n">
        <x:v>0</x:v>
      </x:c>
      <x:c r="T401" s="13" t="str">
        <x:v>9a816f65a6b14f981a462589c73ae4d4583197ccfd9957ca887ecb01aa7a2c25</x:v>
      </x:c>
    </x:row>
    <x:row r="402" ht="15" hidden="0" customHeight="1">
      <x:c r="A402" s="13" t="str">
        <x:v>_5swKLRnr1Q</x:v>
      </x:c>
      <x:c r="B402" s="13" t="str">
        <x:v>Top Solar Stocks to Buy Now | June 2021</x:v>
      </x:c>
      <x:c r="C402" s="14" t="d">
        <x:v>2021-06-02T00:00:00.000Z</x:v>
      </x:c>
      <x:c r="D402" s="18" t="e">
        <x:f>HYPERLINK("https://www.youtube.com/watch?v=_5swKLRnr1Q","Watch video")</x:f>
        <x:v>HYPERLINK is not implemented. linkLocation=https://www.youtube.com/watch?v=_5swKLRnr1Q, friendlyName=Watch video</x:v>
      </x:c>
      <x:c r="E402" s="18" t="e">
        <x:f>HYPERLINK("transcripts/_5swKLRnr1Q.html","Complete transcript")</x:f>
        <x:v>HYPERLINK is not implemented. linkLocation=transcripts/_5swKLRnr1Q.html, friendlyName=Complete transcript</x:v>
      </x:c>
      <x:c r="F402" s="13" t="str">
        <x:v>PETE_EXPLICIT</x:v>
      </x:c>
      <x:c r="G402" s="17" t="str">
        <x:v>UNREVIEWED</x:v>
      </x:c>
      <x:c r="H402" s="17" t="str"/>
      <x:c r="I402" s="17" t="str"/>
      <x:c r="J402" s="17" t="str"/>
      <x:c r="K402" s="17" t="str"/>
      <x:c r="L402" s="17" t="str"/>
      <x:c r="M402" s="17" t="str">
        <x:v>PENDING WHOLE-VIDEO REVIEW</x:v>
      </x:c>
      <x:c r="N402" s="15" t="n">
        <x:v>418</x:v>
      </x:c>
      <x:c r="O402" s="15" t="n">
        <x:v>2576</x:v>
      </x:c>
      <x:c r="P402" s="15" t="n">
        <x:v>708</x:v>
      </x:c>
      <x:c r="Q402" s="13" t="str">
        <x:v>NO_LARGE_TAIL_GAP</x:v>
      </x:c>
      <x:c r="R402" s="13" t="str"/>
      <x:c r="S402" s="16" t="n">
        <x:v>0</x:v>
      </x:c>
      <x:c r="T402" s="13" t="str">
        <x:v>62aa357a3a47f98801c6927e5a00c6ad1164e664bbab971322a915c574ba711d</x:v>
      </x:c>
    </x:row>
    <x:row r="403" ht="15" hidden="0" customHeight="1">
      <x:c r="A403" s="13" t="str">
        <x:v>_9IEBMlXaMU</x:v>
      </x:c>
      <x:c r="B403" s="13" t="str">
        <x:v>Stocks for Breakfast 2 20 20 | Trading AMZN and IBM</x:v>
      </x:c>
      <x:c r="C403" s="14" t="d">
        <x:v>2020-02-20T00:00:00.000Z</x:v>
      </x:c>
      <x:c r="D403" s="18" t="e">
        <x:f>HYPERLINK("https://www.youtube.com/watch?v=_9IEBMlXaMU","Watch video")</x:f>
        <x:v>HYPERLINK is not implemented. linkLocation=https://www.youtube.com/watch?v=_9IEBMlXaMU, friendlyName=Watch video</x:v>
      </x:c>
      <x:c r="E403" s="18" t="e">
        <x:f>HYPERLINK("transcripts/_9IEBMlXaMU.html","Complete transcript")</x:f>
        <x:v>HYPERLINK is not implemented. linkLocation=transcripts/_9IEBMlXaMU.html, friendlyName=Complete transcript</x:v>
      </x:c>
      <x:c r="F403" s="13" t="str">
        <x:v>PETE_EXPLICIT</x:v>
      </x:c>
      <x:c r="G403" s="17" t="str">
        <x:v>UNREVIEWED</x:v>
      </x:c>
      <x:c r="H403" s="17" t="str"/>
      <x:c r="I403" s="17" t="str"/>
      <x:c r="J403" s="17" t="str"/>
      <x:c r="K403" s="17" t="str"/>
      <x:c r="L403" s="17" t="str"/>
      <x:c r="M403" s="17" t="str">
        <x:v>PENDING WHOLE-VIDEO REVIEW</x:v>
      </x:c>
      <x:c r="N403" s="15" t="n">
        <x:v>520</x:v>
      </x:c>
      <x:c r="O403" s="15" t="n">
        <x:v>3766</x:v>
      </x:c>
      <x:c r="P403" s="15" t="n">
        <x:v>1109</x:v>
      </x:c>
      <x:c r="Q403" s="13" t="str">
        <x:v>NO_LARGE_TAIL_GAP</x:v>
      </x:c>
      <x:c r="R403" s="13" t="str"/>
      <x:c r="S403" s="16" t="n">
        <x:v>0</x:v>
      </x:c>
      <x:c r="T403" s="13" t="str">
        <x:v>baa2d22de255252554dd53846a131a3445bf170827f22b2fd2c56a1bc8a0f565</x:v>
      </x:c>
    </x:row>
    <x:row r="404" ht="15" hidden="0" customHeight="1">
      <x:c r="A404" s="13" t="str">
        <x:v>_MpJfYyEmvk</x:v>
      </x:c>
      <x:c r="B404" s="13" t="str">
        <x:v>Top 5 Stocks to Buy Now | June 2021</x:v>
      </x:c>
      <x:c r="C404" s="14" t="d">
        <x:v>2021-06-06T00:00:00.000Z</x:v>
      </x:c>
      <x:c r="D404" s="18" t="e">
        <x:f>HYPERLINK("https://www.youtube.com/watch?v=_MpJfYyEmvk","Watch video")</x:f>
        <x:v>HYPERLINK is not implemented. linkLocation=https://www.youtube.com/watch?v=_MpJfYyEmvk, friendlyName=Watch video</x:v>
      </x:c>
      <x:c r="E404" s="18" t="e">
        <x:f>HYPERLINK("transcripts/_MpJfYyEmvk.html","Complete transcript")</x:f>
        <x:v>HYPERLINK is not implemented. linkLocation=transcripts/_MpJfYyEmvk.html, friendlyName=Complete transcript</x:v>
      </x:c>
      <x:c r="F404" s="13" t="str">
        <x:v>UNKNOWN_REQUIRES_REVIEW</x:v>
      </x:c>
      <x:c r="G404" s="17" t="str">
        <x:v>UNREVIEWED</x:v>
      </x:c>
      <x:c r="H404" s="17" t="str"/>
      <x:c r="I404" s="17" t="str"/>
      <x:c r="J404" s="17" t="str"/>
      <x:c r="K404" s="17" t="str"/>
      <x:c r="L404" s="17" t="str"/>
      <x:c r="M404" s="17" t="str">
        <x:v>PENDING WHOLE-VIDEO REVIEW</x:v>
      </x:c>
      <x:c r="N404" s="15" t="n">
        <x:v>861</x:v>
      </x:c>
      <x:c r="O404" s="15" t="n">
        <x:v>5350</x:v>
      </x:c>
      <x:c r="P404" s="15" t="n">
        <x:v>1537</x:v>
      </x:c>
      <x:c r="Q404" s="13" t="str">
        <x:v>NO_LARGE_TAIL_GAP</x:v>
      </x:c>
      <x:c r="R404" s="13" t="str"/>
      <x:c r="S404" s="16" t="n">
        <x:v>0</x:v>
      </x:c>
      <x:c r="T404" s="13" t="str">
        <x:v>c32b8e41c201ce8cd4bc77dba2e89e6000c45e5d675038451ce420b000ab705c</x:v>
      </x:c>
    </x:row>
    <x:row r="405" ht="15" hidden="0" customHeight="1">
      <x:c r="A405" s="13" t="str">
        <x:v>_XHSqgSJjSQ</x:v>
      </x:c>
      <x:c r="B405" s="13" t="str">
        <x:v>SPY TASR BIDU BA FB | TRADES ON DEMAND</x:v>
      </x:c>
      <x:c r="C405" s="14" t="d">
        <x:v>2015-05-06T00:00:00.000Z</x:v>
      </x:c>
      <x:c r="D405" s="18" t="e">
        <x:f>HYPERLINK("https://www.youtube.com/watch?v=_XHSqgSJjSQ","Watch video")</x:f>
        <x:v>HYPERLINK is not implemented. linkLocation=https://www.youtube.com/watch?v=_XHSqgSJjSQ, friendlyName=Watch video</x:v>
      </x:c>
      <x:c r="E405" s="18" t="e">
        <x:f>HYPERLINK("transcripts/_XHSqgSJjSQ.html","Complete transcript")</x:f>
        <x:v>HYPERLINK is not implemented. linkLocation=transcripts/_XHSqgSJjSQ.html, friendlyName=Complete transcript</x:v>
      </x:c>
      <x:c r="F405" s="13" t="str">
        <x:v>UNKNOWN_REQUIRES_REVIEW</x:v>
      </x:c>
      <x:c r="G405" s="17" t="str">
        <x:v>UNREVIEWED</x:v>
      </x:c>
      <x:c r="H405" s="17" t="str"/>
      <x:c r="I405" s="17" t="str"/>
      <x:c r="J405" s="17" t="str"/>
      <x:c r="K405" s="17" t="str"/>
      <x:c r="L405" s="17" t="str"/>
      <x:c r="M405" s="17" t="str">
        <x:v>PENDING WHOLE-VIDEO REVIEW</x:v>
      </x:c>
      <x:c r="N405" s="15" t="n">
        <x:v>293</x:v>
      </x:c>
      <x:c r="O405" s="15" t="n">
        <x:v>2200</x:v>
      </x:c>
      <x:c r="P405" s="15" t="n">
        <x:v>624</x:v>
      </x:c>
      <x:c r="Q405" s="13" t="str">
        <x:v>NO_LARGE_TAIL_GAP</x:v>
      </x:c>
      <x:c r="R405" s="13" t="str"/>
      <x:c r="S405" s="16" t="n">
        <x:v>0</x:v>
      </x:c>
      <x:c r="T405" s="13" t="str">
        <x:v>d903c4d0a190519bdf94d3530894181aa8c7cb87e8e0b99e5ba4da4453f03025</x:v>
      </x:c>
    </x:row>
    <x:row r="406" ht="15" hidden="0" customHeight="1">
      <x:c r="A406" s="13" t="str">
        <x:v>__GUx3budc4</x:v>
      </x:c>
      <x:c r="B406" s="13" t="str">
        <x:v>Trading Scans | Finding Stocks to Trade</x:v>
      </x:c>
      <x:c r="C406" s="14" t="d">
        <x:v>2016-08-31T00:00:00.000Z</x:v>
      </x:c>
      <x:c r="D406" s="18" t="e">
        <x:f>HYPERLINK("https://www.youtube.com/watch?v=__GUx3budc4","Watch video")</x:f>
        <x:v>HYPERLINK is not implemented. linkLocation=https://www.youtube.com/watch?v=__GUx3budc4, friendlyName=Watch video</x:v>
      </x:c>
      <x:c r="E406" s="18" t="e">
        <x:f>HYPERLINK("transcripts/__GUx3budc4.html","Complete transcript")</x:f>
        <x:v>HYPERLINK is not implemented. linkLocation=transcripts/__GUx3budc4.html, friendlyName=Complete transcript</x:v>
      </x:c>
      <x:c r="F406" s="13" t="str">
        <x:v>UNKNOWN_REQUIRES_REVIEW</x:v>
      </x:c>
      <x:c r="G406" s="17" t="str">
        <x:v>UNREVIEWED</x:v>
      </x:c>
      <x:c r="H406" s="17" t="str"/>
      <x:c r="I406" s="17" t="str"/>
      <x:c r="J406" s="17" t="str"/>
      <x:c r="K406" s="17" t="str"/>
      <x:c r="L406" s="17" t="str"/>
      <x:c r="M406" s="17" t="str">
        <x:v>PENDING WHOLE-VIDEO REVIEW</x:v>
      </x:c>
      <x:c r="N406" s="15" t="n">
        <x:v>198</x:v>
      </x:c>
      <x:c r="O406" s="15" t="n">
        <x:v>1492</x:v>
      </x:c>
      <x:c r="P406" s="15" t="n">
        <x:v>435</x:v>
      </x:c>
      <x:c r="Q406" s="13" t="str">
        <x:v>NO_LARGE_TAIL_GAP</x:v>
      </x:c>
      <x:c r="R406" s="13" t="str"/>
      <x:c r="S406" s="16" t="n">
        <x:v>0</x:v>
      </x:c>
      <x:c r="T406" s="13" t="str">
        <x:v>7edad44c19bee4c164344a3ee97592fff14f942eca40de4f866c23df8d0e2f0b</x:v>
      </x:c>
    </x:row>
    <x:row r="407" ht="15" hidden="0" customHeight="1">
      <x:c r="A407" s="13" t="str">
        <x:v>_c_ekSE6al4</x:v>
      </x:c>
      <x:c r="B407" s="13" t="str">
        <x:v>Best Stock Picks 4 16 20</x:v>
      </x:c>
      <x:c r="C407" s="14" t="d">
        <x:v>2020-04-16T00:00:00.000Z</x:v>
      </x:c>
      <x:c r="D407" s="18" t="e">
        <x:f>HYPERLINK("https://www.youtube.com/watch?v=_c_ekSE6al4","Watch video")</x:f>
        <x:v>HYPERLINK is not implemented. linkLocation=https://www.youtube.com/watch?v=_c_ekSE6al4, friendlyName=Watch video</x:v>
      </x:c>
      <x:c r="E407" s="18" t="e">
        <x:f>HYPERLINK("transcripts/_c_ekSE6al4.html","Complete transcript")</x:f>
        <x:v>HYPERLINK is not implemented. linkLocation=transcripts/_c_ekSE6al4.html, friendlyName=Complete transcript</x:v>
      </x:c>
      <x:c r="F407" s="13" t="str">
        <x:v>PETE_EXPLICIT</x:v>
      </x:c>
      <x:c r="G407" s="17" t="str">
        <x:v>UNREVIEWED</x:v>
      </x:c>
      <x:c r="H407" s="17" t="str"/>
      <x:c r="I407" s="17" t="str"/>
      <x:c r="J407" s="17" t="str"/>
      <x:c r="K407" s="17" t="str"/>
      <x:c r="L407" s="17" t="str"/>
      <x:c r="M407" s="17" t="str">
        <x:v>PENDING WHOLE-VIDEO REVIEW</x:v>
      </x:c>
      <x:c r="N407" s="15" t="n">
        <x:v>635</x:v>
      </x:c>
      <x:c r="O407" s="15" t="n">
        <x:v>4630</x:v>
      </x:c>
      <x:c r="P407" s="15" t="n">
        <x:v>1385</x:v>
      </x:c>
      <x:c r="Q407" s="13" t="str">
        <x:v>NO_LARGE_TAIL_GAP</x:v>
      </x:c>
      <x:c r="R407" s="13" t="str"/>
      <x:c r="S407" s="16" t="n">
        <x:v>0</x:v>
      </x:c>
      <x:c r="T407" s="13" t="str">
        <x:v>9176df01ea45b0cb2e43c3a6004d1b7f32b6ab087927a6e0b1f32afa2ebefd45</x:v>
      </x:c>
    </x:row>
    <x:row r="408" ht="15" hidden="0" customHeight="1">
      <x:c r="A408" s="13" t="str">
        <x:v>_mgjFDdvUq4</x:v>
      </x:c>
      <x:c r="B408" s="13" t="str">
        <x:v>Day Trading TSLA Tesla | Best Stock Picks Today 9-3-20</x:v>
      </x:c>
      <x:c r="C408" s="14" t="d">
        <x:v>2020-09-03T00:00:00.000Z</x:v>
      </x:c>
      <x:c r="D408" s="18" t="e">
        <x:f>HYPERLINK("https://www.youtube.com/watch?v=_mgjFDdvUq4","Watch video")</x:f>
        <x:v>HYPERLINK is not implemented. linkLocation=https://www.youtube.com/watch?v=_mgjFDdvUq4, friendlyName=Watch video</x:v>
      </x:c>
      <x:c r="E408" s="18" t="e">
        <x:f>HYPERLINK("transcripts/_mgjFDdvUq4.html","Complete transcript")</x:f>
        <x:v>HYPERLINK is not implemented. linkLocation=transcripts/_mgjFDdvUq4.html, friendlyName=Complete transcript</x:v>
      </x:c>
      <x:c r="F408" s="13" t="str">
        <x:v>PETE_EXPLICIT</x:v>
      </x:c>
      <x:c r="G408" s="17" t="str">
        <x:v>UNREVIEWED</x:v>
      </x:c>
      <x:c r="H408" s="17" t="str"/>
      <x:c r="I408" s="17" t="str"/>
      <x:c r="J408" s="17" t="str"/>
      <x:c r="K408" s="17" t="str"/>
      <x:c r="L408" s="17" t="str"/>
      <x:c r="M408" s="17" t="str">
        <x:v>PENDING WHOLE-VIDEO REVIEW</x:v>
      </x:c>
      <x:c r="N408" s="15" t="n">
        <x:v>482</x:v>
      </x:c>
      <x:c r="O408" s="15" t="n">
        <x:v>2990</x:v>
      </x:c>
      <x:c r="P408" s="15" t="n">
        <x:v>858</x:v>
      </x:c>
      <x:c r="Q408" s="13" t="str">
        <x:v>NO_LARGE_TAIL_GAP</x:v>
      </x:c>
      <x:c r="R408" s="13" t="str"/>
      <x:c r="S408" s="16" t="n">
        <x:v>0</x:v>
      </x:c>
      <x:c r="T408" s="13" t="str">
        <x:v>6efc5ae98675ccbd986c046eb8bc0f462d1073846a8864d09e95f0fe0bcac88b</x:v>
      </x:c>
    </x:row>
    <x:row r="409" ht="15" hidden="0" customHeight="1">
      <x:c r="A409" s="13" t="str">
        <x:v>_nqWd-qzSj8</x:v>
      </x:c>
      <x:c r="B409" s="13" t="str">
        <x:v>Casino Stocks to Buy | 4-28-20 Stocks for Breakfast</x:v>
      </x:c>
      <x:c r="C409" s="14" t="d">
        <x:v>2020-04-28T00:00:00.000Z</x:v>
      </x:c>
      <x:c r="D409" s="18" t="e">
        <x:f>HYPERLINK("https://www.youtube.com/watch?v=_nqWd-qzSj8","Watch video")</x:f>
        <x:v>HYPERLINK is not implemented. linkLocation=https://www.youtube.com/watch?v=_nqWd-qzSj8, friendlyName=Watch video</x:v>
      </x:c>
      <x:c r="E409" s="18" t="e">
        <x:f>HYPERLINK("transcripts/_nqWd-qzSj8.html","Complete transcript")</x:f>
        <x:v>HYPERLINK is not implemented. linkLocation=transcripts/_nqWd-qzSj8.html, friendlyName=Complete transcript</x:v>
      </x:c>
      <x:c r="F409" s="13" t="str">
        <x:v>PETE_EXPLICIT</x:v>
      </x:c>
      <x:c r="G409" s="17" t="str">
        <x:v>UNREVIEWED</x:v>
      </x:c>
      <x:c r="H409" s="17" t="str"/>
      <x:c r="I409" s="17" t="str"/>
      <x:c r="J409" s="17" t="str"/>
      <x:c r="K409" s="17" t="str"/>
      <x:c r="L409" s="17" t="str"/>
      <x:c r="M409" s="17" t="str">
        <x:v>PENDING WHOLE-VIDEO REVIEW</x:v>
      </x:c>
      <x:c r="N409" s="15" t="n">
        <x:v>605</x:v>
      </x:c>
      <x:c r="O409" s="15" t="n">
        <x:v>4334</x:v>
      </x:c>
      <x:c r="P409" s="15" t="n">
        <x:v>1358</x:v>
      </x:c>
      <x:c r="Q409" s="13" t="str">
        <x:v>NO_LARGE_TAIL_GAP</x:v>
      </x:c>
      <x:c r="R409" s="13" t="str"/>
      <x:c r="S409" s="16" t="n">
        <x:v>0</x:v>
      </x:c>
      <x:c r="T409" s="13" t="str">
        <x:v>933950b4acaa6279f7b556855ab7dc30a1c7718942be3fbd83f6279a8c2262ff</x:v>
      </x:c>
    </x:row>
    <x:row r="410" ht="15" hidden="0" customHeight="1">
      <x:c r="A410" s="13" t="str">
        <x:v>_pVyfeQZ62A</x:v>
      </x:c>
      <x:c r="B410" s="13" t="str">
        <x:v>TSLA Stock Squeezes Short Sellers | Best Stock Picks Today 7-13-20</x:v>
      </x:c>
      <x:c r="C410" s="14" t="d">
        <x:v>2020-07-13T00:00:00.000Z</x:v>
      </x:c>
      <x:c r="D410" s="18" t="e">
        <x:f>HYPERLINK("https://www.youtube.com/watch?v=_pVyfeQZ62A","Watch video")</x:f>
        <x:v>HYPERLINK is not implemented. linkLocation=https://www.youtube.com/watch?v=_pVyfeQZ62A, friendlyName=Watch video</x:v>
      </x:c>
      <x:c r="E410" s="18" t="e">
        <x:f>HYPERLINK("transcripts/_pVyfeQZ62A.html","Complete transcript")</x:f>
        <x:v>HYPERLINK is not implemented. linkLocation=transcripts/_pVyfeQZ62A.html, friendlyName=Complete transcript</x:v>
      </x:c>
      <x:c r="F410" s="13" t="str">
        <x:v>PETE_EXPLICIT</x:v>
      </x:c>
      <x:c r="G410" s="17" t="str">
        <x:v>UNREVIEWED</x:v>
      </x:c>
      <x:c r="H410" s="17" t="str"/>
      <x:c r="I410" s="17" t="str"/>
      <x:c r="J410" s="17" t="str"/>
      <x:c r="K410" s="17" t="str"/>
      <x:c r="L410" s="17" t="str"/>
      <x:c r="M410" s="17" t="str">
        <x:v>PENDING WHOLE-VIDEO REVIEW</x:v>
      </x:c>
      <x:c r="N410" s="15" t="n">
        <x:v>427</x:v>
      </x:c>
      <x:c r="O410" s="15" t="n">
        <x:v>3112</x:v>
      </x:c>
      <x:c r="P410" s="15" t="n">
        <x:v>885</x:v>
      </x:c>
      <x:c r="Q410" s="13" t="str">
        <x:v>NO_LARGE_TAIL_GAP</x:v>
      </x:c>
      <x:c r="R410" s="13" t="str"/>
      <x:c r="S410" s="16" t="n">
        <x:v>0</x:v>
      </x:c>
      <x:c r="T410" s="13" t="str">
        <x:v>1ab01f9cc2a6afcc8934de9690ae30c6b82c12e51eb5847756a8773110f6abfa</x:v>
      </x:c>
    </x:row>
    <x:row r="411" ht="15" hidden="0" customHeight="1">
      <x:c r="A411" s="13" t="str">
        <x:v>_xB0Klz5svg</x:v>
      </x:c>
      <x:c r="B411" s="13" t="str">
        <x:v>Platinum Pre Market Meeting Jan 7 2016</x:v>
      </x:c>
      <x:c r="C411" s="14" t="d">
        <x:v>2016-01-08T00:00:00.000Z</x:v>
      </x:c>
      <x:c r="D411" s="18" t="e">
        <x:f>HYPERLINK("https://www.youtube.com/watch?v=_xB0Klz5svg","Watch video")</x:f>
        <x:v>HYPERLINK is not implemented. linkLocation=https://www.youtube.com/watch?v=_xB0Klz5svg, friendlyName=Watch video</x:v>
      </x:c>
      <x:c r="E411" s="18" t="e">
        <x:f>HYPERLINK("transcripts/_xB0Klz5svg.html","Complete transcript")</x:f>
        <x:v>HYPERLINK is not implemented. linkLocation=transcripts/_xB0Klz5svg.html, friendlyName=Complete transcript</x:v>
      </x:c>
      <x:c r="F411" s="13" t="str">
        <x:v>UNKNOWN_REQUIRES_REVIEW</x:v>
      </x:c>
      <x:c r="G411" s="17" t="str">
        <x:v>UNREVIEWED</x:v>
      </x:c>
      <x:c r="H411" s="17" t="str"/>
      <x:c r="I411" s="17" t="str"/>
      <x:c r="J411" s="17" t="str"/>
      <x:c r="K411" s="17" t="str"/>
      <x:c r="L411" s="17" t="str"/>
      <x:c r="M411" s="17" t="str">
        <x:v>PENDING WHOLE-VIDEO REVIEW</x:v>
      </x:c>
      <x:c r="N411" s="15" t="n">
        <x:v>493</x:v>
      </x:c>
      <x:c r="O411" s="15" t="n">
        <x:v>3659</x:v>
      </x:c>
      <x:c r="P411" s="15" t="n">
        <x:v>1024</x:v>
      </x:c>
      <x:c r="Q411" s="13" t="str">
        <x:v>NO_LARGE_TAIL_GAP</x:v>
      </x:c>
      <x:c r="R411" s="13" t="str"/>
      <x:c r="S411" s="16" t="n">
        <x:v>0</x:v>
      </x:c>
      <x:c r="T411" s="13" t="str">
        <x:v>6994d7bab5135e7164416154e39b6fb33fbf9c9528c2c065b1ecd09d187b2f14</x:v>
      </x:c>
    </x:row>
    <x:row r="412" ht="15" hidden="0" customHeight="1">
      <x:c r="A412" s="13" t="str">
        <x:v>_xKDEcLzx8M</x:v>
      </x:c>
      <x:c r="B412" s="13" t="str">
        <x:v>Best Day Trading Indicators for Stocks</x:v>
      </x:c>
      <x:c r="C412" s="14" t="d">
        <x:v>2022-01-19T00:00:00.000Z</x:v>
      </x:c>
      <x:c r="D412" s="18" t="e">
        <x:f>HYPERLINK("https://www.youtube.com/watch?v=_xKDEcLzx8M","Watch video")</x:f>
        <x:v>HYPERLINK is not implemented. linkLocation=https://www.youtube.com/watch?v=_xKDEcLzx8M, friendlyName=Watch video</x:v>
      </x:c>
      <x:c r="E412" s="18" t="e">
        <x:f>HYPERLINK("transcripts/_xKDEcLzx8M.html","Complete transcript")</x:f>
        <x:v>HYPERLINK is not implemented. linkLocation=transcripts/_xKDEcLzx8M.html, friendlyName=Complete transcript</x:v>
      </x:c>
      <x:c r="F412" s="13" t="str">
        <x:v>PETE_EXPLICIT</x:v>
      </x:c>
      <x:c r="G412" s="17" t="str">
        <x:v>UNREVIEWED</x:v>
      </x:c>
      <x:c r="H412" s="17" t="str"/>
      <x:c r="I412" s="17" t="str"/>
      <x:c r="J412" s="17" t="str"/>
      <x:c r="K412" s="17" t="str"/>
      <x:c r="L412" s="17" t="str"/>
      <x:c r="M412" s="17" t="str">
        <x:v>PENDING WHOLE-VIDEO REVIEW</x:v>
      </x:c>
      <x:c r="N412" s="15" t="n">
        <x:v>408</x:v>
      </x:c>
      <x:c r="O412" s="15" t="n">
        <x:v>2806</x:v>
      </x:c>
      <x:c r="P412" s="15" t="n">
        <x:v>837</x:v>
      </x:c>
      <x:c r="Q412" s="13" t="str">
        <x:v>NO_LARGE_TAIL_GAP</x:v>
      </x:c>
      <x:c r="R412" s="13" t="str"/>
      <x:c r="S412" s="16" t="n">
        <x:v>0</x:v>
      </x:c>
      <x:c r="T412" s="13" t="str">
        <x:v>b0f09126c6553a9fd57f7e74f6283aa72928a0d9cd305918a8e701a5f9e7ac6d</x:v>
      </x:c>
    </x:row>
    <x:row r="413" ht="15" hidden="0" customHeight="1">
      <x:c r="A413" s="13" t="str">
        <x:v>a2aQoro4rzM</x:v>
      </x:c>
      <x:c r="B413" s="13" t="str">
        <x:v>Options Trading Must Knows : What is "Edge" Anyway</x:v>
      </x:c>
      <x:c r="C413" s="14" t="d">
        <x:v>2024-07-09T00:00:00.000Z</x:v>
      </x:c>
      <x:c r="D413" s="18" t="e">
        <x:f>HYPERLINK("https://www.youtube.com/watch?v=a2aQoro4rzM","Watch video")</x:f>
        <x:v>HYPERLINK is not implemented. linkLocation=https://www.youtube.com/watch?v=a2aQoro4rzM, friendlyName=Watch video</x:v>
      </x:c>
      <x:c r="E413" s="18" t="e">
        <x:f>HYPERLINK("transcripts/a2aQoro4rzM.html","Complete transcript")</x:f>
        <x:v>HYPERLINK is not implemented. linkLocation=transcripts/a2aQoro4rzM.html, friendlyName=Complete transcript</x:v>
      </x:c>
      <x:c r="F413" s="13" t="str">
        <x:v>UNKNOWN_REQUIRES_REVIEW</x:v>
      </x:c>
      <x:c r="G413" s="17" t="str">
        <x:v>UNREVIEWED</x:v>
      </x:c>
      <x:c r="H413" s="17" t="str"/>
      <x:c r="I413" s="17" t="str"/>
      <x:c r="J413" s="17" t="str"/>
      <x:c r="K413" s="17" t="str"/>
      <x:c r="L413" s="17" t="str"/>
      <x:c r="M413" s="17" t="str">
        <x:v>PENDING WHOLE-VIDEO REVIEW</x:v>
      </x:c>
      <x:c r="N413" s="15" t="n">
        <x:v>202</x:v>
      </x:c>
      <x:c r="O413" s="15" t="n">
        <x:v>1522</x:v>
      </x:c>
      <x:c r="P413" s="15" t="n">
        <x:v>492</x:v>
      </x:c>
      <x:c r="Q413" s="13" t="str">
        <x:v>NO_LARGE_TAIL_GAP</x:v>
      </x:c>
      <x:c r="R413" s="13" t="str"/>
      <x:c r="S413" s="16" t="n">
        <x:v>0</x:v>
      </x:c>
      <x:c r="T413" s="13" t="str">
        <x:v>ea761770bffe6082b4596dd088e7d4d62001eba9a7585f032829860cfdc3baf6</x:v>
      </x:c>
    </x:row>
    <x:row r="414" ht="15" hidden="0" customHeight="1">
      <x:c r="A414" s="13" t="str">
        <x:v>a7vWN_IyGc0</x:v>
      </x:c>
      <x:c r="B414" s="13" t="str">
        <x:v>MTCH Earnings Trade 8-4-20 | Best Stock Picks Today</x:v>
      </x:c>
      <x:c r="C414" s="14" t="d">
        <x:v>2020-08-04T00:00:00.000Z</x:v>
      </x:c>
      <x:c r="D414" s="18" t="e">
        <x:f>HYPERLINK("https://www.youtube.com/watch?v=a7vWN_IyGc0","Watch video")</x:f>
        <x:v>HYPERLINK is not implemented. linkLocation=https://www.youtube.com/watch?v=a7vWN_IyGc0, friendlyName=Watch video</x:v>
      </x:c>
      <x:c r="E414" s="18" t="e">
        <x:f>HYPERLINK("transcripts/a7vWN_IyGc0.html","Complete transcript")</x:f>
        <x:v>HYPERLINK is not implemented. linkLocation=transcripts/a7vWN_IyGc0.html, friendlyName=Complete transcript</x:v>
      </x:c>
      <x:c r="F414" s="13" t="str">
        <x:v>PETE_EXPLICIT</x:v>
      </x:c>
      <x:c r="G414" s="17" t="str">
        <x:v>UNREVIEWED</x:v>
      </x:c>
      <x:c r="H414" s="17" t="str"/>
      <x:c r="I414" s="17" t="str"/>
      <x:c r="J414" s="17" t="str"/>
      <x:c r="K414" s="17" t="str"/>
      <x:c r="L414" s="17" t="str"/>
      <x:c r="M414" s="17" t="str">
        <x:v>PENDING WHOLE-VIDEO REVIEW</x:v>
      </x:c>
      <x:c r="N414" s="15" t="n">
        <x:v>437</x:v>
      </x:c>
      <x:c r="O414" s="15" t="n">
        <x:v>2744</x:v>
      </x:c>
      <x:c r="P414" s="15" t="n">
        <x:v>748</x:v>
      </x:c>
      <x:c r="Q414" s="13" t="str">
        <x:v>NO_LARGE_TAIL_GAP</x:v>
      </x:c>
      <x:c r="R414" s="13" t="str"/>
      <x:c r="S414" s="16" t="n">
        <x:v>0</x:v>
      </x:c>
      <x:c r="T414" s="13" t="str">
        <x:v>3d3970e4a890b82129ead5803562d408fc6838919ea3d90f30e0e75c2596bfd6</x:v>
      </x:c>
    </x:row>
    <x:row r="415" ht="15" hidden="0" customHeight="1">
      <x:c r="A415" s="13" t="str">
        <x:v>aQAjiowmqoI</x:v>
      </x:c>
      <x:c r="B415" s="13" t="str">
        <x:v>Best Day Trading Indicator | Stocks for Breakfast</x:v>
      </x:c>
      <x:c r="C415" s="14" t="d">
        <x:v>2020-09-14T00:00:00.000Z</x:v>
      </x:c>
      <x:c r="D415" s="18" t="e">
        <x:f>HYPERLINK("https://www.youtube.com/watch?v=aQAjiowmqoI","Watch video")</x:f>
        <x:v>HYPERLINK is not implemented. linkLocation=https://www.youtube.com/watch?v=aQAjiowmqoI, friendlyName=Watch video</x:v>
      </x:c>
      <x:c r="E415" s="18" t="e">
        <x:f>HYPERLINK("transcripts/aQAjiowmqoI.html","Complete transcript")</x:f>
        <x:v>HYPERLINK is not implemented. linkLocation=transcripts/aQAjiowmqoI.html, friendlyName=Complete transcript</x:v>
      </x:c>
      <x:c r="F415" s="13" t="str">
        <x:v>PETE_EXPLICIT</x:v>
      </x:c>
      <x:c r="G415" s="17" t="str">
        <x:v>UNREVIEWED</x:v>
      </x:c>
      <x:c r="H415" s="17" t="str"/>
      <x:c r="I415" s="17" t="str"/>
      <x:c r="J415" s="17" t="str"/>
      <x:c r="K415" s="17" t="str"/>
      <x:c r="L415" s="17" t="str"/>
      <x:c r="M415" s="17" t="str">
        <x:v>PENDING WHOLE-VIDEO REVIEW</x:v>
      </x:c>
      <x:c r="N415" s="15" t="n">
        <x:v>397</x:v>
      </x:c>
      <x:c r="O415" s="15" t="n">
        <x:v>2419</x:v>
      </x:c>
      <x:c r="P415" s="15" t="n">
        <x:v>721</x:v>
      </x:c>
      <x:c r="Q415" s="13" t="str">
        <x:v>NO_LARGE_TAIL_GAP</x:v>
      </x:c>
      <x:c r="R415" s="13" t="str"/>
      <x:c r="S415" s="16" t="n">
        <x:v>0</x:v>
      </x:c>
      <x:c r="T415" s="13" t="str">
        <x:v>a2f9009c72eac2c67e6157bfd1b7fa1ee1e95cf557261a758a1b70a8792a2b82</x:v>
      </x:c>
    </x:row>
    <x:row r="416" ht="15" hidden="0" customHeight="1">
      <x:c r="A416" s="13" t="str">
        <x:v>aSDmaAYMCdo</x:v>
      </x:c>
      <x:c r="B416" s="13" t="str">
        <x:v>What I Wish I Knew Before Trading Options!</x:v>
      </x:c>
      <x:c r="C416" s="14" t="d">
        <x:v>2025-10-28T00:00:00.000Z</x:v>
      </x:c>
      <x:c r="D416" s="18" t="e">
        <x:f>HYPERLINK("https://www.youtube.com/watch?v=aSDmaAYMCdo","Watch video")</x:f>
        <x:v>HYPERLINK is not implemented. linkLocation=https://www.youtube.com/watch?v=aSDmaAYMCdo, friendlyName=Watch video</x:v>
      </x:c>
      <x:c r="E416" s="18" t="e">
        <x:f>HYPERLINK("transcripts/aSDmaAYMCdo.html","Complete transcript")</x:f>
        <x:v>HYPERLINK is not implemented. linkLocation=transcripts/aSDmaAYMCdo.html, friendlyName=Complete transcript</x:v>
      </x:c>
      <x:c r="F416" s="13" t="str">
        <x:v>NON_PETE_EXPLICIT_JOHN</x:v>
      </x:c>
      <x:c r="G416" s="17" t="str">
        <x:v>UNREVIEWED</x:v>
      </x:c>
      <x:c r="H416" s="17" t="str"/>
      <x:c r="I416" s="17" t="str"/>
      <x:c r="J416" s="17" t="str"/>
      <x:c r="K416" s="17" t="str"/>
      <x:c r="L416" s="17" t="str"/>
      <x:c r="M416" s="17" t="str">
        <x:v>PENDING WHOLE-VIDEO REVIEW</x:v>
      </x:c>
      <x:c r="N416" s="15" t="n">
        <x:v>219</x:v>
      </x:c>
      <x:c r="O416" s="15" t="n">
        <x:v>1451</x:v>
      </x:c>
      <x:c r="P416" s="15" t="n">
        <x:v>552</x:v>
      </x:c>
      <x:c r="Q416" s="13" t="str">
        <x:v>NO_LARGE_TAIL_GAP</x:v>
      </x:c>
      <x:c r="R416" s="13" t="str"/>
      <x:c r="S416" s="16" t="n">
        <x:v>0</x:v>
      </x:c>
      <x:c r="T416" s="13" t="str">
        <x:v>d209152375098eedf2516eba962340f737cda724c4cd2147e9408969b523ccb5</x:v>
      </x:c>
    </x:row>
    <x:row r="417" ht="15" hidden="0" customHeight="1">
      <x:c r="A417" s="13" t="str">
        <x:v>aTm_scBGMv4</x:v>
      </x:c>
      <x:c r="B417" s="13" t="str">
        <x:v>Best Stock Picks Today | SPCE Swing Trade 9-29-20</x:v>
      </x:c>
      <x:c r="C417" s="14" t="d">
        <x:v>2020-09-29T00:00:00.000Z</x:v>
      </x:c>
      <x:c r="D417" s="18" t="e">
        <x:f>HYPERLINK("https://www.youtube.com/watch?v=aTm_scBGMv4","Watch video")</x:f>
        <x:v>HYPERLINK is not implemented. linkLocation=https://www.youtube.com/watch?v=aTm_scBGMv4, friendlyName=Watch video</x:v>
      </x:c>
      <x:c r="E417" s="18" t="e">
        <x:f>HYPERLINK("transcripts/aTm_scBGMv4.html","Complete transcript")</x:f>
        <x:v>HYPERLINK is not implemented. linkLocation=transcripts/aTm_scBGMv4.html, friendlyName=Complete transcript</x:v>
      </x:c>
      <x:c r="F417" s="13" t="str">
        <x:v>PETE_EXPLICIT</x:v>
      </x:c>
      <x:c r="G417" s="17" t="str">
        <x:v>UNREVIEWED</x:v>
      </x:c>
      <x:c r="H417" s="17" t="str"/>
      <x:c r="I417" s="17" t="str"/>
      <x:c r="J417" s="17" t="str"/>
      <x:c r="K417" s="17" t="str"/>
      <x:c r="L417" s="17" t="str"/>
      <x:c r="M417" s="17" t="str">
        <x:v>PENDING WHOLE-VIDEO REVIEW</x:v>
      </x:c>
      <x:c r="N417" s="15" t="n">
        <x:v>423</x:v>
      </x:c>
      <x:c r="O417" s="15" t="n">
        <x:v>2685</x:v>
      </x:c>
      <x:c r="P417" s="15" t="n">
        <x:v>763</x:v>
      </x:c>
      <x:c r="Q417" s="13" t="str">
        <x:v>NO_LARGE_TAIL_GAP</x:v>
      </x:c>
      <x:c r="R417" s="13" t="str"/>
      <x:c r="S417" s="16" t="n">
        <x:v>0</x:v>
      </x:c>
      <x:c r="T417" s="13" t="str">
        <x:v>5e4b0350522ca94ac11eeb17e98f740d44fafeebe188fff121b957914f7a5911</x:v>
      </x:c>
    </x:row>
    <x:row r="418" ht="15" hidden="0" customHeight="1">
      <x:c r="A418" s="13" t="str">
        <x:v>aUVMXVS5LJs</x:v>
      </x:c>
      <x:c r="B418" s="13" t="str">
        <x:v>Best Stock Picks Today 4 6 20 | Trading Game Plan</x:v>
      </x:c>
      <x:c r="C418" s="14" t="d">
        <x:v>2020-04-05T00:00:00.000Z</x:v>
      </x:c>
      <x:c r="D418" s="18" t="e">
        <x:f>HYPERLINK("https://www.youtube.com/watch?v=aUVMXVS5LJs","Watch video")</x:f>
        <x:v>HYPERLINK is not implemented. linkLocation=https://www.youtube.com/watch?v=aUVMXVS5LJs, friendlyName=Watch video</x:v>
      </x:c>
      <x:c r="E418" s="18" t="e">
        <x:f>HYPERLINK("transcripts/aUVMXVS5LJs.html","Complete transcript")</x:f>
        <x:v>HYPERLINK is not implemented. linkLocation=transcripts/aUVMXVS5LJs.html, friendlyName=Complete transcript</x:v>
      </x:c>
      <x:c r="F418" s="13" t="str">
        <x:v>PETE_EXPLICIT</x:v>
      </x:c>
      <x:c r="G418" s="17" t="str">
        <x:v>UNREVIEWED</x:v>
      </x:c>
      <x:c r="H418" s="17" t="str"/>
      <x:c r="I418" s="17" t="str"/>
      <x:c r="J418" s="17" t="str"/>
      <x:c r="K418" s="17" t="str"/>
      <x:c r="L418" s="17" t="str"/>
      <x:c r="M418" s="17" t="str">
        <x:v>PENDING WHOLE-VIDEO REVIEW</x:v>
      </x:c>
      <x:c r="N418" s="15" t="n">
        <x:v>577</x:v>
      </x:c>
      <x:c r="O418" s="15" t="n">
        <x:v>4239</x:v>
      </x:c>
      <x:c r="P418" s="15" t="n">
        <x:v>1242</x:v>
      </x:c>
      <x:c r="Q418" s="13" t="str">
        <x:v>NO_LARGE_TAIL_GAP</x:v>
      </x:c>
      <x:c r="R418" s="13" t="str"/>
      <x:c r="S418" s="16" t="n">
        <x:v>0</x:v>
      </x:c>
      <x:c r="T418" s="13" t="str">
        <x:v>0055d937554e669f1295bb1e573bb72b9b94bbac8d75e6c163b6be0866f2b8c9</x:v>
      </x:c>
    </x:row>
    <x:row r="419" ht="15" hidden="0" customHeight="1">
      <x:c r="A419" s="13" t="str">
        <x:v>aUoiyDm4404</x:v>
      </x:c>
      <x:c r="B419" s="13" t="str">
        <x:v>Nvidia Stock: Running Out Of Buyers</x:v>
      </x:c>
      <x:c r="C419" s="14" t="d">
        <x:v>2024-06-21T00:00:00.000Z</x:v>
      </x:c>
      <x:c r="D419" s="18" t="e">
        <x:f>HYPERLINK("https://www.youtube.com/watch?v=aUoiyDm4404","Watch video")</x:f>
        <x:v>HYPERLINK is not implemented. linkLocation=https://www.youtube.com/watch?v=aUoiyDm4404, friendlyName=Watch video</x:v>
      </x:c>
      <x:c r="E419" s="18" t="e">
        <x:f>HYPERLINK("transcripts/aUoiyDm4404.html","Complete transcript")</x:f>
        <x:v>HYPERLINK is not implemented. linkLocation=transcripts/aUoiyDm4404.html, friendlyName=Complete transcript</x:v>
      </x:c>
      <x:c r="F419" s="13" t="str">
        <x:v>PETE_EXPLICIT</x:v>
      </x:c>
      <x:c r="G419" s="17" t="str">
        <x:v>UNREVIEWED</x:v>
      </x:c>
      <x:c r="H419" s="17" t="str"/>
      <x:c r="I419" s="17" t="str"/>
      <x:c r="J419" s="17" t="str"/>
      <x:c r="K419" s="17" t="str"/>
      <x:c r="L419" s="17" t="str"/>
      <x:c r="M419" s="17" t="str">
        <x:v>PENDING WHOLE-VIDEO REVIEW</x:v>
      </x:c>
      <x:c r="N419" s="15" t="n">
        <x:v>865</x:v>
      </x:c>
      <x:c r="O419" s="15" t="n">
        <x:v>6364</x:v>
      </x:c>
      <x:c r="P419" s="15" t="n">
        <x:v>1840</x:v>
      </x:c>
      <x:c r="Q419" s="13" t="str">
        <x:v>NO_LARGE_TAIL_GAP</x:v>
      </x:c>
      <x:c r="R419" s="13" t="str"/>
      <x:c r="S419" s="16" t="n">
        <x:v>0</x:v>
      </x:c>
      <x:c r="T419" s="13" t="str">
        <x:v>c4d65d36c92e4b7a812cb47831553dc7b5207b8c554a79cec813db77c8c3fb35</x:v>
      </x:c>
    </x:row>
    <x:row r="420" ht="15" hidden="0" customHeight="1">
      <x:c r="A420" s="13" t="str">
        <x:v>aY3zCZwAA_E</x:v>
      </x:c>
      <x:c r="B420" s="13" t="str">
        <x:v>Level Up Swing Trading: Manage Entries, Exits &amp; Position Sizing</x:v>
      </x:c>
      <x:c r="C420" s="14" t="d">
        <x:v>2020-08-03T00:00:00.000Z</x:v>
      </x:c>
      <x:c r="D420" s="18" t="e">
        <x:f>HYPERLINK("https://www.youtube.com/watch?v=aY3zCZwAA_E","Watch video")</x:f>
        <x:v>HYPERLINK is not implemented. linkLocation=https://www.youtube.com/watch?v=aY3zCZwAA_E, friendlyName=Watch video</x:v>
      </x:c>
      <x:c r="E420" s="18" t="e">
        <x:f>HYPERLINK("transcripts/aY3zCZwAA_E.html","Complete transcript")</x:f>
        <x:v>HYPERLINK is not implemented. linkLocation=transcripts/aY3zCZwAA_E.html, friendlyName=Complete transcript</x:v>
      </x:c>
      <x:c r="F420" s="13" t="str">
        <x:v>PETE_EXPLICIT</x:v>
      </x:c>
      <x:c r="G420" s="17" t="str">
        <x:v>UNREVIEWED</x:v>
      </x:c>
      <x:c r="H420" s="17" t="str"/>
      <x:c r="I420" s="17" t="str"/>
      <x:c r="J420" s="17" t="str"/>
      <x:c r="K420" s="17" t="str"/>
      <x:c r="L420" s="17" t="str"/>
      <x:c r="M420" s="17" t="str">
        <x:v>PENDING WHOLE-VIDEO REVIEW</x:v>
      </x:c>
      <x:c r="N420" s="15" t="n">
        <x:v>728</x:v>
      </x:c>
      <x:c r="O420" s="15" t="n">
        <x:v>4561</x:v>
      </x:c>
      <x:c r="P420" s="15" t="n">
        <x:v>1311</x:v>
      </x:c>
      <x:c r="Q420" s="13" t="str">
        <x:v>NO_LARGE_TAIL_GAP</x:v>
      </x:c>
      <x:c r="R420" s="13" t="str"/>
      <x:c r="S420" s="16" t="n">
        <x:v>0</x:v>
      </x:c>
      <x:c r="T420" s="13" t="str">
        <x:v>39ecabd2dca5c4bfcdcd726b4f87cf47aac206ea74a68cb2e0970168e7d4d7d5</x:v>
      </x:c>
    </x:row>
    <x:row r="421" ht="15" hidden="0" customHeight="1">
      <x:c r="A421" s="13" t="str">
        <x:v>acbm0ATj1bc</x:v>
      </x:c>
      <x:c r="B421" s="13" t="str">
        <x:v>Stocks to Buy Today | Stocks for Breakfast 3 13 20</x:v>
      </x:c>
      <x:c r="C421" s="14" t="d">
        <x:v>2020-03-13T00:00:00.000Z</x:v>
      </x:c>
      <x:c r="D421" s="18" t="e">
        <x:f>HYPERLINK("https://www.youtube.com/watch?v=acbm0ATj1bc","Watch video")</x:f>
        <x:v>HYPERLINK is not implemented. linkLocation=https://www.youtube.com/watch?v=acbm0ATj1bc, friendlyName=Watch video</x:v>
      </x:c>
      <x:c r="E421" s="18" t="e">
        <x:f>HYPERLINK("transcripts/acbm0ATj1bc.html","Complete transcript")</x:f>
        <x:v>HYPERLINK is not implemented. linkLocation=transcripts/acbm0ATj1bc.html, friendlyName=Complete transcript</x:v>
      </x:c>
      <x:c r="F421" s="13" t="str">
        <x:v>UNKNOWN_REQUIRES_REVIEW</x:v>
      </x:c>
      <x:c r="G421" s="17" t="str">
        <x:v>UNREVIEWED</x:v>
      </x:c>
      <x:c r="H421" s="17" t="str"/>
      <x:c r="I421" s="17" t="str"/>
      <x:c r="J421" s="17" t="str"/>
      <x:c r="K421" s="17" t="str"/>
      <x:c r="L421" s="17" t="str"/>
      <x:c r="M421" s="17" t="str">
        <x:v>PENDING WHOLE-VIDEO REVIEW</x:v>
      </x:c>
      <x:c r="N421" s="15" t="n">
        <x:v>662</x:v>
      </x:c>
      <x:c r="O421" s="15" t="n">
        <x:v>4851</x:v>
      </x:c>
      <x:c r="P421" s="15" t="n">
        <x:v>1483</x:v>
      </x:c>
      <x:c r="Q421" s="13" t="str">
        <x:v>NO_LARGE_TAIL_GAP</x:v>
      </x:c>
      <x:c r="R421" s="13" t="str"/>
      <x:c r="S421" s="16" t="n">
        <x:v>0</x:v>
      </x:c>
      <x:c r="T421" s="13" t="str">
        <x:v>2b9cec3bb194e71c54840027b8e519d497c806badbc471160e845257b190ac15</x:v>
      </x:c>
    </x:row>
    <x:row r="422" ht="15" hidden="0" customHeight="1">
      <x:c r="A422" s="13" t="str">
        <x:v>aeXKO49Pg3E</x:v>
      </x:c>
      <x:c r="B422" s="13" t="str">
        <x:v>Options Trading Webinar: How I Build The Best Options Trades: John Napolitano</x:v>
      </x:c>
      <x:c r="C422" s="14" t="d">
        <x:v>2022-11-17T00:00:00.000Z</x:v>
      </x:c>
      <x:c r="D422" s="18" t="e">
        <x:f>HYPERLINK("https://www.youtube.com/watch?v=aeXKO49Pg3E","Watch video")</x:f>
        <x:v>HYPERLINK is not implemented. linkLocation=https://www.youtube.com/watch?v=aeXKO49Pg3E, friendlyName=Watch video</x:v>
      </x:c>
      <x:c r="E422" s="18" t="e">
        <x:f>HYPERLINK("transcripts/aeXKO49Pg3E.html","Complete transcript")</x:f>
        <x:v>HYPERLINK is not implemented. linkLocation=transcripts/aeXKO49Pg3E.html, friendlyName=Complete transcript</x:v>
      </x:c>
      <x:c r="F422" s="13" t="str">
        <x:v>NON_PETE_EXPLICIT_JOHN</x:v>
      </x:c>
      <x:c r="G422" s="17" t="str">
        <x:v>UNREVIEWED</x:v>
      </x:c>
      <x:c r="H422" s="17" t="str"/>
      <x:c r="I422" s="17" t="str"/>
      <x:c r="J422" s="17" t="str"/>
      <x:c r="K422" s="17" t="str"/>
      <x:c r="L422" s="17" t="str"/>
      <x:c r="M422" s="17" t="str">
        <x:v>PENDING WHOLE-VIDEO REVIEW</x:v>
      </x:c>
      <x:c r="N422" s="15" t="n">
        <x:v>2657</x:v>
      </x:c>
      <x:c r="O422" s="15" t="n">
        <x:v>18467</x:v>
      </x:c>
      <x:c r="P422" s="15" t="n">
        <x:v>5545</x:v>
      </x:c>
      <x:c r="Q422" s="13" t="str">
        <x:v>NO_LARGE_TAIL_GAP</x:v>
      </x:c>
      <x:c r="R422" s="13" t="str"/>
      <x:c r="S422" s="16" t="n">
        <x:v>0</x:v>
      </x:c>
      <x:c r="T422" s="13" t="str">
        <x:v>508c4fc669336e087817412daeeb778f778abb85bcdddeb4e847878c78594656</x:v>
      </x:c>
    </x:row>
    <x:row r="423" ht="15" hidden="0" customHeight="1">
      <x:c r="A423" s="13" t="str">
        <x:v>afH8f1rZ8Do</x:v>
      </x:c>
      <x:c r="B423" s="13" t="str">
        <x:v>KSS | ALTR | Trading Game Plan April 10 2015</x:v>
      </x:c>
      <x:c r="C423" s="14" t="d">
        <x:v>2015-04-10T00:00:00.000Z</x:v>
      </x:c>
      <x:c r="D423" s="18" t="e">
        <x:f>HYPERLINK("https://www.youtube.com/watch?v=afH8f1rZ8Do","Watch video")</x:f>
        <x:v>HYPERLINK is not implemented. linkLocation=https://www.youtube.com/watch?v=afH8f1rZ8Do, friendlyName=Watch video</x:v>
      </x:c>
      <x:c r="E423" s="18" t="e">
        <x:f>HYPERLINK("transcripts/afH8f1rZ8Do.html","Complete transcript")</x:f>
        <x:v>HYPERLINK is not implemented. linkLocation=transcripts/afH8f1rZ8Do.html, friendlyName=Complete transcript</x:v>
      </x:c>
      <x:c r="F423" s="13" t="str">
        <x:v>UNKNOWN_REQUIRES_REVIEW</x:v>
      </x:c>
      <x:c r="G423" s="17" t="str">
        <x:v>UNREVIEWED</x:v>
      </x:c>
      <x:c r="H423" s="17" t="str"/>
      <x:c r="I423" s="17" t="str"/>
      <x:c r="J423" s="17" t="str"/>
      <x:c r="K423" s="17" t="str"/>
      <x:c r="L423" s="17" t="str"/>
      <x:c r="M423" s="17" t="str">
        <x:v>PENDING WHOLE-VIDEO REVIEW</x:v>
      </x:c>
      <x:c r="N423" s="15" t="n">
        <x:v>360</x:v>
      </x:c>
      <x:c r="O423" s="15" t="n">
        <x:v>2547</x:v>
      </x:c>
      <x:c r="P423" s="15" t="n">
        <x:v>831</x:v>
      </x:c>
      <x:c r="Q423" s="13" t="str">
        <x:v>NO_LARGE_TAIL_GAP</x:v>
      </x:c>
      <x:c r="R423" s="13" t="str"/>
      <x:c r="S423" s="16" t="n">
        <x:v>0</x:v>
      </x:c>
      <x:c r="T423" s="13" t="str">
        <x:v>3090d9579f6dacbd6cb4d91e4d5c4ff48c6d57198303c7bc2cbba6532dab79a7</x:v>
      </x:c>
    </x:row>
    <x:row r="424" ht="15" hidden="0" customHeight="1">
      <x:c r="A424" s="13" t="str">
        <x:v>aw8xmQwydEM</x:v>
      </x:c>
      <x:c r="B424" s="13" t="str">
        <x:v>Options Market Volatility: What is Market Contagion ?</x:v>
      </x:c>
      <x:c r="C424" s="14" t="d">
        <x:v>2024-07-09T00:00:00.000Z</x:v>
      </x:c>
      <x:c r="D424" s="18" t="e">
        <x:f>HYPERLINK("https://www.youtube.com/watch?v=aw8xmQwydEM","Watch video")</x:f>
        <x:v>HYPERLINK is not implemented. linkLocation=https://www.youtube.com/watch?v=aw8xmQwydEM, friendlyName=Watch video</x:v>
      </x:c>
      <x:c r="E424" s="18" t="e">
        <x:f>HYPERLINK("transcripts/aw8xmQwydEM.html","Complete transcript")</x:f>
        <x:v>HYPERLINK is not implemented. linkLocation=transcripts/aw8xmQwydEM.html, friendlyName=Complete transcript</x:v>
      </x:c>
      <x:c r="F424" s="13" t="str">
        <x:v>NON_PETE_EXPLICIT_JOHN</x:v>
      </x:c>
      <x:c r="G424" s="17" t="str">
        <x:v>UNREVIEWED</x:v>
      </x:c>
      <x:c r="H424" s="17" t="str"/>
      <x:c r="I424" s="17" t="str"/>
      <x:c r="J424" s="17" t="str"/>
      <x:c r="K424" s="17" t="str"/>
      <x:c r="L424" s="17" t="str"/>
      <x:c r="M424" s="17" t="str">
        <x:v>PENDING WHOLE-VIDEO REVIEW</x:v>
      </x:c>
      <x:c r="N424" s="15" t="n">
        <x:v>209</x:v>
      </x:c>
      <x:c r="O424" s="15" t="n">
        <x:v>1513</x:v>
      </x:c>
      <x:c r="P424" s="15" t="n">
        <x:v>487</x:v>
      </x:c>
      <x:c r="Q424" s="13" t="str">
        <x:v>NO_LARGE_TAIL_GAP</x:v>
      </x:c>
      <x:c r="R424" s="13" t="str"/>
      <x:c r="S424" s="16" t="n">
        <x:v>0</x:v>
      </x:c>
      <x:c r="T424" s="13" t="str">
        <x:v>f52df2b2dcd49831890862f437b634bf495b3f72ba691382c114c91d10905508</x:v>
      </x:c>
    </x:row>
    <x:row r="425" ht="15" hidden="0" customHeight="1">
      <x:c r="A425" s="13" t="str">
        <x:v>b29SPUQPbIM</x:v>
      </x:c>
      <x:c r="B425" s="13" t="str">
        <x:v>Options Trading: What is the Correct Strategy?</x:v>
      </x:c>
      <x:c r="C425" s="14" t="d">
        <x:v>2024-07-10T00:00:00.000Z</x:v>
      </x:c>
      <x:c r="D425" s="18" t="e">
        <x:f>HYPERLINK("https://www.youtube.com/watch?v=b29SPUQPbIM","Watch video")</x:f>
        <x:v>HYPERLINK is not implemented. linkLocation=https://www.youtube.com/watch?v=b29SPUQPbIM, friendlyName=Watch video</x:v>
      </x:c>
      <x:c r="E425" s="18" t="e">
        <x:f>HYPERLINK("transcripts/b29SPUQPbIM.html","Complete transcript")</x:f>
        <x:v>HYPERLINK is not implemented. linkLocation=transcripts/b29SPUQPbIM.html, friendlyName=Complete transcript</x:v>
      </x:c>
      <x:c r="F425" s="13" t="str">
        <x:v>NON_PETE_EXPLICIT_JOHN</x:v>
      </x:c>
      <x:c r="G425" s="17" t="str">
        <x:v>UNREVIEWED</x:v>
      </x:c>
      <x:c r="H425" s="17" t="str"/>
      <x:c r="I425" s="17" t="str"/>
      <x:c r="J425" s="17" t="str"/>
      <x:c r="K425" s="17" t="str"/>
      <x:c r="L425" s="17" t="str"/>
      <x:c r="M425" s="17" t="str">
        <x:v>PENDING WHOLE-VIDEO REVIEW</x:v>
      </x:c>
      <x:c r="N425" s="15" t="n">
        <x:v>192</x:v>
      </x:c>
      <x:c r="O425" s="15" t="n">
        <x:v>1417</x:v>
      </x:c>
      <x:c r="P425" s="15" t="n">
        <x:v>417</x:v>
      </x:c>
      <x:c r="Q425" s="13" t="str">
        <x:v>NO_LARGE_TAIL_GAP</x:v>
      </x:c>
      <x:c r="R425" s="13" t="str"/>
      <x:c r="S425" s="16" t="n">
        <x:v>0</x:v>
      </x:c>
      <x:c r="T425" s="13" t="str">
        <x:v>e8688062e635d7787a86325bdb8be11a856a7efe1356d64880874bd1fe6a2c94</x:v>
      </x:c>
    </x:row>
    <x:row r="426" ht="24" hidden="0" customHeight="1">
      <x:c r="A426" s="13" t="str">
        <x:v>bAZjKVjeTQs</x:v>
      </x:c>
      <x:c r="B426" s="13" t="str">
        <x:v>Stock Trading Insight: Losses Are a Business Expense. We Win Some, We Lose Some, We Bounce Back</x:v>
      </x:c>
      <x:c r="C426" s="14" t="d">
        <x:v>2023-03-05T00:00:00.000Z</x:v>
      </x:c>
      <x:c r="D426" s="18" t="e">
        <x:f>HYPERLINK("https://www.youtube.com/watch?v=bAZjKVjeTQs","Watch video")</x:f>
        <x:v>HYPERLINK is not implemented. linkLocation=https://www.youtube.com/watch?v=bAZjKVjeTQs, friendlyName=Watch video</x:v>
      </x:c>
      <x:c r="E426" s="18" t="e">
        <x:f>HYPERLINK("transcripts/bAZjKVjeTQs.html","Complete transcript")</x:f>
        <x:v>HYPERLINK is not implemented. linkLocation=transcripts/bAZjKVjeTQs.html, friendlyName=Complete transcript</x:v>
      </x:c>
      <x:c r="F426" s="13" t="str">
        <x:v>UNKNOWN_REQUIRES_REVIEW</x:v>
      </x:c>
      <x:c r="G426" s="17" t="str">
        <x:v>UNREVIEWED</x:v>
      </x:c>
      <x:c r="H426" s="17" t="str"/>
      <x:c r="I426" s="17" t="str"/>
      <x:c r="J426" s="17" t="str"/>
      <x:c r="K426" s="17" t="str"/>
      <x:c r="L426" s="17" t="str"/>
      <x:c r="M426" s="17" t="str">
        <x:v>PENDING WHOLE-VIDEO REVIEW</x:v>
      </x:c>
      <x:c r="N426" s="15" t="n">
        <x:v>138</x:v>
      </x:c>
      <x:c r="O426" s="15" t="n">
        <x:v>988</x:v>
      </x:c>
      <x:c r="P426" s="15" t="n">
        <x:v>279</x:v>
      </x:c>
      <x:c r="Q426" s="13" t="str">
        <x:v>NO_LARGE_TAIL_GAP</x:v>
      </x:c>
      <x:c r="R426" s="13" t="str"/>
      <x:c r="S426" s="16" t="n">
        <x:v>0</x:v>
      </x:c>
      <x:c r="T426" s="13" t="str">
        <x:v>a2f2e93520677be57361303fbe0d54c6a22e2494834ed0fad0797e896765dd6a</x:v>
      </x:c>
    </x:row>
    <x:row r="427" ht="15" hidden="0" customHeight="1">
      <x:c r="A427" s="13" t="str">
        <x:v>bEhZQpCfqYA</x:v>
      </x:c>
      <x:c r="B427" s="13" t="str">
        <x:v>Best Stock Trading Scans | Stocks for Breakfast</x:v>
      </x:c>
      <x:c r="C427" s="14" t="d">
        <x:v>2020-10-26T00:00:00.000Z</x:v>
      </x:c>
      <x:c r="D427" s="18" t="e">
        <x:f>HYPERLINK("https://www.youtube.com/watch?v=bEhZQpCfqYA","Watch video")</x:f>
        <x:v>HYPERLINK is not implemented. linkLocation=https://www.youtube.com/watch?v=bEhZQpCfqYA, friendlyName=Watch video</x:v>
      </x:c>
      <x:c r="E427" s="18" t="e">
        <x:f>HYPERLINK("transcripts/bEhZQpCfqYA.html","Complete transcript")</x:f>
        <x:v>HYPERLINK is not implemented. linkLocation=transcripts/bEhZQpCfqYA.html, friendlyName=Complete transcript</x:v>
      </x:c>
      <x:c r="F427" s="13" t="str">
        <x:v>PETE_EXPLICIT</x:v>
      </x:c>
      <x:c r="G427" s="17" t="str">
        <x:v>UNREVIEWED</x:v>
      </x:c>
      <x:c r="H427" s="17" t="str"/>
      <x:c r="I427" s="17" t="str"/>
      <x:c r="J427" s="17" t="str"/>
      <x:c r="K427" s="17" t="str"/>
      <x:c r="L427" s="17" t="str"/>
      <x:c r="M427" s="17" t="str">
        <x:v>PENDING WHOLE-VIDEO REVIEW</x:v>
      </x:c>
      <x:c r="N427" s="15" t="n">
        <x:v>479</x:v>
      </x:c>
      <x:c r="O427" s="15" t="n">
        <x:v>2972</x:v>
      </x:c>
      <x:c r="P427" s="15" t="n">
        <x:v>858</x:v>
      </x:c>
      <x:c r="Q427" s="13" t="str">
        <x:v>NO_LARGE_TAIL_GAP</x:v>
      </x:c>
      <x:c r="R427" s="13" t="str"/>
      <x:c r="S427" s="16" t="n">
        <x:v>0</x:v>
      </x:c>
      <x:c r="T427" s="13" t="str">
        <x:v>727314d983d278c447b8eed80722c046eefd638bc48e39f89029291f03d12b39</x:v>
      </x:c>
    </x:row>
    <x:row r="428" ht="15" hidden="0" customHeight="1">
      <x:c r="A428" s="13" t="str">
        <x:v>bHmPkCHmnUg</x:v>
      </x:c>
      <x:c r="B428" s="13" t="str">
        <x:v>Stock Trading Lesson | Leverage</x:v>
      </x:c>
      <x:c r="C428" s="14" t="d">
        <x:v>2021-04-11T00:00:00.000Z</x:v>
      </x:c>
      <x:c r="D428" s="18" t="e">
        <x:f>HYPERLINK("https://www.youtube.com/watch?v=bHmPkCHmnUg","Watch video")</x:f>
        <x:v>HYPERLINK is not implemented. linkLocation=https://www.youtube.com/watch?v=bHmPkCHmnUg, friendlyName=Watch video</x:v>
      </x:c>
      <x:c r="E428" s="18" t="e">
        <x:f>HYPERLINK("transcripts/bHmPkCHmnUg.html","Complete transcript")</x:f>
        <x:v>HYPERLINK is not implemented. linkLocation=transcripts/bHmPkCHmnUg.html, friendlyName=Complete transcript</x:v>
      </x:c>
      <x:c r="F428" s="13" t="str">
        <x:v>UNKNOWN_REQUIRES_REVIEW</x:v>
      </x:c>
      <x:c r="G428" s="17" t="str">
        <x:v>UNREVIEWED</x:v>
      </x:c>
      <x:c r="H428" s="17" t="str"/>
      <x:c r="I428" s="17" t="str"/>
      <x:c r="J428" s="17" t="str"/>
      <x:c r="K428" s="17" t="str"/>
      <x:c r="L428" s="17" t="str"/>
      <x:c r="M428" s="17" t="str">
        <x:v>PENDING WHOLE-VIDEO REVIEW</x:v>
      </x:c>
      <x:c r="N428" s="15" t="n">
        <x:v>293</x:v>
      </x:c>
      <x:c r="O428" s="15" t="n">
        <x:v>1749</x:v>
      </x:c>
      <x:c r="P428" s="15" t="n">
        <x:v>543</x:v>
      </x:c>
      <x:c r="Q428" s="13" t="str">
        <x:v>NO_LARGE_TAIL_GAP</x:v>
      </x:c>
      <x:c r="R428" s="13" t="str"/>
      <x:c r="S428" s="16" t="n">
        <x:v>0</x:v>
      </x:c>
      <x:c r="T428" s="13" t="str">
        <x:v>c64e31161351666c7c75a0a03fbe055b95d305fdf8db325f5a91841f9b9f270e</x:v>
      </x:c>
    </x:row>
    <x:row r="429" ht="15" hidden="0" customHeight="1">
      <x:c r="A429" s="13" t="str">
        <x:v>bKNQN_Ea4Ac</x:v>
      </x:c>
      <x:c r="B429" s="13" t="str">
        <x:v>Jobless Claims | Gold Stocks to Buy | Best Stock Picks 4-23-20</x:v>
      </x:c>
      <x:c r="C429" s="14" t="d">
        <x:v>2020-04-22T00:00:00.000Z</x:v>
      </x:c>
      <x:c r="D429" s="18" t="e">
        <x:f>HYPERLINK("https://www.youtube.com/watch?v=bKNQN_Ea4Ac","Watch video")</x:f>
        <x:v>HYPERLINK is not implemented. linkLocation=https://www.youtube.com/watch?v=bKNQN_Ea4Ac, friendlyName=Watch video</x:v>
      </x:c>
      <x:c r="E429" s="18" t="e">
        <x:f>HYPERLINK("transcripts/bKNQN_Ea4Ac.html","Complete transcript")</x:f>
        <x:v>HYPERLINK is not implemented. linkLocation=transcripts/bKNQN_Ea4Ac.html, friendlyName=Complete transcript</x:v>
      </x:c>
      <x:c r="F429" s="13" t="str">
        <x:v>PETE_EXPLICIT</x:v>
      </x:c>
      <x:c r="G429" s="17" t="str">
        <x:v>UNREVIEWED</x:v>
      </x:c>
      <x:c r="H429" s="17" t="str"/>
      <x:c r="I429" s="17" t="str"/>
      <x:c r="J429" s="17" t="str"/>
      <x:c r="K429" s="17" t="str"/>
      <x:c r="L429" s="17" t="str"/>
      <x:c r="M429" s="17" t="str">
        <x:v>PENDING WHOLE-VIDEO REVIEW</x:v>
      </x:c>
      <x:c r="N429" s="15" t="n">
        <x:v>651</x:v>
      </x:c>
      <x:c r="O429" s="15" t="n">
        <x:v>4788</x:v>
      </x:c>
      <x:c r="P429" s="15" t="n">
        <x:v>1427</x:v>
      </x:c>
      <x:c r="Q429" s="13" t="str">
        <x:v>NO_LARGE_TAIL_GAP</x:v>
      </x:c>
      <x:c r="R429" s="13" t="str"/>
      <x:c r="S429" s="16" t="n">
        <x:v>0</x:v>
      </x:c>
      <x:c r="T429" s="13" t="str">
        <x:v>c7a911f2a95f546b83c72b3c7604752fe7bb3b099275729ac4dd6d1209abb20f</x:v>
      </x:c>
    </x:row>
    <x:row r="430" ht="15" hidden="0" customHeight="1">
      <x:c r="A430" s="13" t="str">
        <x:v>bMhiPKullp8</x:v>
      </x:c>
      <x:c r="B430" s="13" t="str">
        <x:v>Trading Game Plan for Coronavirus | Stocks for Breakfast 3.6.20</x:v>
      </x:c>
      <x:c r="C430" s="14" t="d">
        <x:v>2020-03-06T00:00:00.000Z</x:v>
      </x:c>
      <x:c r="D430" s="18" t="e">
        <x:f>HYPERLINK("https://www.youtube.com/watch?v=bMhiPKullp8","Watch video")</x:f>
        <x:v>HYPERLINK is not implemented. linkLocation=https://www.youtube.com/watch?v=bMhiPKullp8, friendlyName=Watch video</x:v>
      </x:c>
      <x:c r="E430" s="18" t="e">
        <x:f>HYPERLINK("transcripts/bMhiPKullp8.html","Complete transcript")</x:f>
        <x:v>HYPERLINK is not implemented. linkLocation=transcripts/bMhiPKullp8.html, friendlyName=Complete transcript</x:v>
      </x:c>
      <x:c r="F430" s="13" t="str">
        <x:v>PETE_EXPLICIT</x:v>
      </x:c>
      <x:c r="G430" s="17" t="str">
        <x:v>UNREVIEWED</x:v>
      </x:c>
      <x:c r="H430" s="17" t="str"/>
      <x:c r="I430" s="17" t="str"/>
      <x:c r="J430" s="17" t="str"/>
      <x:c r="K430" s="17" t="str"/>
      <x:c r="L430" s="17" t="str"/>
      <x:c r="M430" s="17" t="str">
        <x:v>PENDING WHOLE-VIDEO REVIEW</x:v>
      </x:c>
      <x:c r="N430" s="15" t="n">
        <x:v>614</x:v>
      </x:c>
      <x:c r="O430" s="15" t="n">
        <x:v>4424</x:v>
      </x:c>
      <x:c r="P430" s="15" t="n">
        <x:v>1316</x:v>
      </x:c>
      <x:c r="Q430" s="13" t="str">
        <x:v>NO_LARGE_TAIL_GAP</x:v>
      </x:c>
      <x:c r="R430" s="13" t="str"/>
      <x:c r="S430" s="16" t="n">
        <x:v>0</x:v>
      </x:c>
      <x:c r="T430" s="13" t="str">
        <x:v>eb644ec044d225dd5e947be84546c60bd728254a3e42521e4a91db7407035c7a</x:v>
      </x:c>
    </x:row>
    <x:row r="431" ht="15" hidden="0" customHeight="1">
      <x:c r="A431" s="13" t="str">
        <x:v>bXh66N-yPRI</x:v>
      </x:c>
      <x:c r="B431" s="13" t="str">
        <x:v>Stock Trading Recap 9 28 15</x:v>
      </x:c>
      <x:c r="C431" s="14" t="d">
        <x:v>2015-09-28T00:00:00.000Z</x:v>
      </x:c>
      <x:c r="D431" s="18" t="e">
        <x:f>HYPERLINK("https://www.youtube.com/watch?v=bXh66N-yPRI","Watch video")</x:f>
        <x:v>HYPERLINK is not implemented. linkLocation=https://www.youtube.com/watch?v=bXh66N-yPRI, friendlyName=Watch video</x:v>
      </x:c>
      <x:c r="E431" s="18" t="e">
        <x:f>HYPERLINK("transcripts/bXh66N-yPRI.html","Complete transcript")</x:f>
        <x:v>HYPERLINK is not implemented. linkLocation=transcripts/bXh66N-yPRI.html, friendlyName=Complete transcript</x:v>
      </x:c>
      <x:c r="F431" s="13" t="str">
        <x:v>UNKNOWN_REQUIRES_REVIEW</x:v>
      </x:c>
      <x:c r="G431" s="17" t="str">
        <x:v>UNREVIEWED</x:v>
      </x:c>
      <x:c r="H431" s="17" t="str"/>
      <x:c r="I431" s="17" t="str"/>
      <x:c r="J431" s="17" t="str"/>
      <x:c r="K431" s="17" t="str"/>
      <x:c r="L431" s="17" t="str"/>
      <x:c r="M431" s="17" t="str">
        <x:v>PENDING WHOLE-VIDEO REVIEW</x:v>
      </x:c>
      <x:c r="N431" s="15" t="n">
        <x:v>421</x:v>
      </x:c>
      <x:c r="O431" s="15" t="n">
        <x:v>3132</x:v>
      </x:c>
      <x:c r="P431" s="15" t="n">
        <x:v>926</x:v>
      </x:c>
      <x:c r="Q431" s="13" t="str">
        <x:v>NO_LARGE_TAIL_GAP</x:v>
      </x:c>
      <x:c r="R431" s="13" t="str"/>
      <x:c r="S431" s="16" t="n">
        <x:v>0</x:v>
      </x:c>
      <x:c r="T431" s="13" t="str">
        <x:v>215ee094faf6a49a08b50a0ccfa53e965a5d965020df7b589ad1082013bbe526</x:v>
      </x:c>
    </x:row>
    <x:row r="432" ht="15" hidden="0" customHeight="1">
      <x:c r="A432" s="13" t="str">
        <x:v>bbTTZXplazM</x:v>
      </x:c>
      <x:c r="B432" s="13" t="str">
        <x:v>Utilize This Method for the Best Stocks to Swing Trade</x:v>
      </x:c>
      <x:c r="C432" s="14" t="d">
        <x:v>2026-05-11T00:00:00.000Z</x:v>
      </x:c>
      <x:c r="D432" s="18" t="e">
        <x:f>HYPERLINK("https://www.youtube.com/watch?v=bbTTZXplazM","Watch video")</x:f>
        <x:v>HYPERLINK is not implemented. linkLocation=https://www.youtube.com/watch?v=bbTTZXplazM, friendlyName=Watch video</x:v>
      </x:c>
      <x:c r="E432" s="18" t="e">
        <x:f>HYPERLINK("transcripts/bbTTZXplazM.html","Complete transcript")</x:f>
        <x:v>HYPERLINK is not implemented. linkLocation=transcripts/bbTTZXplazM.html, friendlyName=Complete transcript</x:v>
      </x:c>
      <x:c r="F432" s="13" t="str">
        <x:v>UNKNOWN_REQUIRES_REVIEW</x:v>
      </x:c>
      <x:c r="G432" s="17" t="str">
        <x:v>UNREVIEWED</x:v>
      </x:c>
      <x:c r="H432" s="17" t="str"/>
      <x:c r="I432" s="17" t="str"/>
      <x:c r="J432" s="17" t="str"/>
      <x:c r="K432" s="17" t="str"/>
      <x:c r="L432" s="17" t="str"/>
      <x:c r="M432" s="17" t="str">
        <x:v>PENDING WHOLE-VIDEO REVIEW</x:v>
      </x:c>
      <x:c r="N432" s="15" t="n">
        <x:v>251</x:v>
      </x:c>
      <x:c r="O432" s="15" t="n">
        <x:v>1469</x:v>
      </x:c>
      <x:c r="P432" s="15" t="n">
        <x:v>521</x:v>
      </x:c>
      <x:c r="Q432" s="13" t="str">
        <x:v>NO_LARGE_TAIL_GAP</x:v>
      </x:c>
      <x:c r="R432" s="13" t="str"/>
      <x:c r="S432" s="16" t="n">
        <x:v>0</x:v>
      </x:c>
      <x:c r="T432" s="13" t="str">
        <x:v>cce03507687009289938849fda994e32d397fec3494567b31efb6977761b5f7d</x:v>
      </x:c>
    </x:row>
    <x:row r="433" ht="15" hidden="0" customHeight="1">
      <x:c r="A433" s="13" t="str">
        <x:v>benBuKCluX0</x:v>
      </x:c>
      <x:c r="B433" s="13" t="str">
        <x:v>Proven Steps to Stock Trading Success | 6-4-20 Stocks for Breakfast</x:v>
      </x:c>
      <x:c r="C433" s="14" t="d">
        <x:v>2020-06-04T00:00:00.000Z</x:v>
      </x:c>
      <x:c r="D433" s="18" t="e">
        <x:f>HYPERLINK("https://www.youtube.com/watch?v=benBuKCluX0","Watch video")</x:f>
        <x:v>HYPERLINK is not implemented. linkLocation=https://www.youtube.com/watch?v=benBuKCluX0, friendlyName=Watch video</x:v>
      </x:c>
      <x:c r="E433" s="18" t="e">
        <x:f>HYPERLINK("transcripts/benBuKCluX0.html","Complete transcript")</x:f>
        <x:v>HYPERLINK is not implemented. linkLocation=transcripts/benBuKCluX0.html, friendlyName=Complete transcript</x:v>
      </x:c>
      <x:c r="F433" s="13" t="str">
        <x:v>UNKNOWN_REQUIRES_REVIEW</x:v>
      </x:c>
      <x:c r="G433" s="17" t="str">
        <x:v>UNREVIEWED</x:v>
      </x:c>
      <x:c r="H433" s="17" t="str"/>
      <x:c r="I433" s="17" t="str"/>
      <x:c r="J433" s="17" t="str"/>
      <x:c r="K433" s="17" t="str"/>
      <x:c r="L433" s="17" t="str"/>
      <x:c r="M433" s="17" t="str">
        <x:v>PENDING WHOLE-VIDEO REVIEW</x:v>
      </x:c>
      <x:c r="N433" s="15" t="n">
        <x:v>494</x:v>
      </x:c>
      <x:c r="O433" s="15" t="n">
        <x:v>3576</x:v>
      </x:c>
      <x:c r="P433" s="15" t="n">
        <x:v>1043</x:v>
      </x:c>
      <x:c r="Q433" s="13" t="str">
        <x:v>NO_LARGE_TAIL_GAP</x:v>
      </x:c>
      <x:c r="R433" s="13" t="str"/>
      <x:c r="S433" s="16" t="n">
        <x:v>0</x:v>
      </x:c>
      <x:c r="T433" s="13" t="str">
        <x:v>a3707c043daf798a8cf6b9e7f0bdbceb3c003e328cc8832e47f5d387e05b28c8</x:v>
      </x:c>
    </x:row>
    <x:row r="434" ht="15" hidden="0" customHeight="1">
      <x:c r="A434" s="13" t="str">
        <x:v>bp5OTFIEj2g</x:v>
      </x:c>
      <x:c r="B434" s="13" t="str">
        <x:v>How To Swing Trade Stocks With A Full-Time Job</x:v>
      </x:c>
      <x:c r="C434" s="14" t="d">
        <x:v>2025-10-10T00:00:00.000Z</x:v>
      </x:c>
      <x:c r="D434" s="18" t="e">
        <x:f>HYPERLINK("https://www.youtube.com/watch?v=bp5OTFIEj2g","Watch video")</x:f>
        <x:v>HYPERLINK is not implemented. linkLocation=https://www.youtube.com/watch?v=bp5OTFIEj2g, friendlyName=Watch video</x:v>
      </x:c>
      <x:c r="E434" s="18" t="e">
        <x:f>HYPERLINK("transcripts/bp5OTFIEj2g.html","Complete transcript")</x:f>
        <x:v>HYPERLINK is not implemented. linkLocation=transcripts/bp5OTFIEj2g.html, friendlyName=Complete transcript</x:v>
      </x:c>
      <x:c r="F434" s="13" t="str">
        <x:v>UNKNOWN_REQUIRES_REVIEW</x:v>
      </x:c>
      <x:c r="G434" s="17" t="str">
        <x:v>UNREVIEWED</x:v>
      </x:c>
      <x:c r="H434" s="17" t="str"/>
      <x:c r="I434" s="17" t="str"/>
      <x:c r="J434" s="17" t="str"/>
      <x:c r="K434" s="17" t="str"/>
      <x:c r="L434" s="17" t="str"/>
      <x:c r="M434" s="17" t="str">
        <x:v>PENDING WHOLE-VIDEO REVIEW</x:v>
      </x:c>
      <x:c r="N434" s="15" t="n">
        <x:v>1029</x:v>
      </x:c>
      <x:c r="O434" s="15" t="n">
        <x:v>7596</x:v>
      </x:c>
      <x:c r="P434" s="15" t="n">
        <x:v>2140</x:v>
      </x:c>
      <x:c r="Q434" s="13" t="str">
        <x:v>NO_LARGE_TAIL_GAP</x:v>
      </x:c>
      <x:c r="R434" s="13" t="str"/>
      <x:c r="S434" s="16" t="n">
        <x:v>0</x:v>
      </x:c>
      <x:c r="T434" s="13" t="str">
        <x:v>fd31a71c6d9c0fbc9e39698f1f2cd55184a5edbce0d193e17577a60308e65230</x:v>
      </x:c>
    </x:row>
    <x:row r="435" ht="15" hidden="0" customHeight="1">
      <x:c r="A435" s="13" t="str">
        <x:v>bptKdgNch-w</x:v>
      </x:c>
      <x:c r="B435" s="13" t="str">
        <x:v>Stock Market Rallies | How to Buy Stocks |  3 10 20 Stocks for Breakfast</x:v>
      </x:c>
      <x:c r="C435" s="14" t="d">
        <x:v>2020-03-10T00:00:00.000Z</x:v>
      </x:c>
      <x:c r="D435" s="18" t="e">
        <x:f>HYPERLINK("https://www.youtube.com/watch?v=bptKdgNch-w","Watch video")</x:f>
        <x:v>HYPERLINK is not implemented. linkLocation=https://www.youtube.com/watch?v=bptKdgNch-w, friendlyName=Watch video</x:v>
      </x:c>
      <x:c r="E435" s="18" t="e">
        <x:f>HYPERLINK("transcripts/bptKdgNch-w.html","Complete transcript")</x:f>
        <x:v>HYPERLINK is not implemented. linkLocation=transcripts/bptKdgNch-w.html, friendlyName=Complete transcript</x:v>
      </x:c>
      <x:c r="F435" s="13" t="str">
        <x:v>UNKNOWN_REQUIRES_REVIEW</x:v>
      </x:c>
      <x:c r="G435" s="17" t="str">
        <x:v>UNREVIEWED</x:v>
      </x:c>
      <x:c r="H435" s="17" t="str"/>
      <x:c r="I435" s="17" t="str"/>
      <x:c r="J435" s="17" t="str"/>
      <x:c r="K435" s="17" t="str"/>
      <x:c r="L435" s="17" t="str"/>
      <x:c r="M435" s="17" t="str">
        <x:v>PENDING WHOLE-VIDEO REVIEW</x:v>
      </x:c>
      <x:c r="N435" s="15" t="n">
        <x:v>531</x:v>
      </x:c>
      <x:c r="O435" s="15" t="n">
        <x:v>3850</x:v>
      </x:c>
      <x:c r="P435" s="15" t="n">
        <x:v>1165</x:v>
      </x:c>
      <x:c r="Q435" s="13" t="str">
        <x:v>NO_LARGE_TAIL_GAP</x:v>
      </x:c>
      <x:c r="R435" s="13" t="str"/>
      <x:c r="S435" s="16" t="n">
        <x:v>0</x:v>
      </x:c>
      <x:c r="T435" s="13" t="str">
        <x:v>8bf967500a6b3375ace8cb59f520b89e5c1f0f6f5345e664f08e2e6ac1b4747d</x:v>
      </x:c>
    </x:row>
    <x:row r="436" ht="15" hidden="0" customHeight="1">
      <x:c r="A436" s="13" t="str">
        <x:v>bv_b6XauH3k</x:v>
      </x:c>
      <x:c r="B436" s="13" t="str">
        <x:v>Day Trading Stocks | Piggyback the Smart Money | Stocks for Breakfast</x:v>
      </x:c>
      <x:c r="C436" s="14" t="d">
        <x:v>2020-08-13T00:00:00.000Z</x:v>
      </x:c>
      <x:c r="D436" s="18" t="e">
        <x:f>HYPERLINK("https://www.youtube.com/watch?v=bv_b6XauH3k","Watch video")</x:f>
        <x:v>HYPERLINK is not implemented. linkLocation=https://www.youtube.com/watch?v=bv_b6XauH3k, friendlyName=Watch video</x:v>
      </x:c>
      <x:c r="E436" s="18" t="e">
        <x:f>HYPERLINK("transcripts/bv_b6XauH3k.html","Complete transcript")</x:f>
        <x:v>HYPERLINK is not implemented. linkLocation=transcripts/bv_b6XauH3k.html, friendlyName=Complete transcript</x:v>
      </x:c>
      <x:c r="F436" s="13" t="str">
        <x:v>PETE_EXPLICIT</x:v>
      </x:c>
      <x:c r="G436" s="17" t="str">
        <x:v>UNREVIEWED</x:v>
      </x:c>
      <x:c r="H436" s="17" t="str"/>
      <x:c r="I436" s="17" t="str"/>
      <x:c r="J436" s="17" t="str"/>
      <x:c r="K436" s="17" t="str"/>
      <x:c r="L436" s="17" t="str"/>
      <x:c r="M436" s="17" t="str">
        <x:v>PENDING WHOLE-VIDEO REVIEW</x:v>
      </x:c>
      <x:c r="N436" s="15" t="n">
        <x:v>651</x:v>
      </x:c>
      <x:c r="O436" s="15" t="n">
        <x:v>4077</x:v>
      </x:c>
      <x:c r="P436" s="15" t="n">
        <x:v>1134</x:v>
      </x:c>
      <x:c r="Q436" s="13" t="str">
        <x:v>NO_LARGE_TAIL_GAP</x:v>
      </x:c>
      <x:c r="R436" s="13" t="str"/>
      <x:c r="S436" s="16" t="n">
        <x:v>0</x:v>
      </x:c>
      <x:c r="T436" s="13" t="str">
        <x:v>adedcf4147ae8c5610939cc9cfb550d698dac20dc7d82d1dbea8f04112c17d5d</x:v>
      </x:c>
    </x:row>
    <x:row r="437" ht="15" hidden="0" customHeight="1">
      <x:c r="A437" s="13" t="str">
        <x:v>bwQbmKVoiu4</x:v>
      </x:c>
      <x:c r="B437" s="13" t="str">
        <x:v>Best Stock Picks Today | Tech Stocks to Buy 9-28-20</x:v>
      </x:c>
      <x:c r="C437" s="14" t="d">
        <x:v>2020-09-28T00:00:00.000Z</x:v>
      </x:c>
      <x:c r="D437" s="18" t="e">
        <x:f>HYPERLINK("https://www.youtube.com/watch?v=bwQbmKVoiu4","Watch video")</x:f>
        <x:v>HYPERLINK is not implemented. linkLocation=https://www.youtube.com/watch?v=bwQbmKVoiu4, friendlyName=Watch video</x:v>
      </x:c>
      <x:c r="E437" s="18" t="e">
        <x:f>HYPERLINK("transcripts/bwQbmKVoiu4.html","Complete transcript")</x:f>
        <x:v>HYPERLINK is not implemented. linkLocation=transcripts/bwQbmKVoiu4.html, friendlyName=Complete transcript</x:v>
      </x:c>
      <x:c r="F437" s="13" t="str">
        <x:v>PETE_EXPLICIT</x:v>
      </x:c>
      <x:c r="G437" s="17" t="str">
        <x:v>UNREVIEWED</x:v>
      </x:c>
      <x:c r="H437" s="17" t="str"/>
      <x:c r="I437" s="17" t="str"/>
      <x:c r="J437" s="17" t="str"/>
      <x:c r="K437" s="17" t="str"/>
      <x:c r="L437" s="17" t="str"/>
      <x:c r="M437" s="17" t="str">
        <x:v>PENDING WHOLE-VIDEO REVIEW</x:v>
      </x:c>
      <x:c r="N437" s="15" t="n">
        <x:v>426</x:v>
      </x:c>
      <x:c r="O437" s="15" t="n">
        <x:v>2718</x:v>
      </x:c>
      <x:c r="P437" s="15" t="n">
        <x:v>739</x:v>
      </x:c>
      <x:c r="Q437" s="13" t="str">
        <x:v>NO_LARGE_TAIL_GAP</x:v>
      </x:c>
      <x:c r="R437" s="13" t="str"/>
      <x:c r="S437" s="16" t="n">
        <x:v>0</x:v>
      </x:c>
      <x:c r="T437" s="13" t="str">
        <x:v>55a2be5b061b5b19276c37ead42bc3fb4fb5ca4de78d845db68e59f43a43135d</x:v>
      </x:c>
    </x:row>
    <x:row r="438" ht="15" hidden="0" customHeight="1">
      <x:c r="A438" s="13" t="str">
        <x:v>c20_ZajUd00</x:v>
      </x:c>
      <x:c r="B438" s="13" t="str">
        <x:v>NVAX Stock Explodes | 7-7-20 Best Stock Picks Today</x:v>
      </x:c>
      <x:c r="C438" s="14" t="d">
        <x:v>2020-07-07T00:00:00.000Z</x:v>
      </x:c>
      <x:c r="D438" s="18" t="e">
        <x:f>HYPERLINK("https://www.youtube.com/watch?v=c20_ZajUd00","Watch video")</x:f>
        <x:v>HYPERLINK is not implemented. linkLocation=https://www.youtube.com/watch?v=c20_ZajUd00, friendlyName=Watch video</x:v>
      </x:c>
      <x:c r="E438" s="18" t="e">
        <x:f>HYPERLINK("transcripts/c20_ZajUd00.html","Complete transcript")</x:f>
        <x:v>HYPERLINK is not implemented. linkLocation=transcripts/c20_ZajUd00.html, friendlyName=Complete transcript</x:v>
      </x:c>
      <x:c r="F438" s="13" t="str">
        <x:v>UNKNOWN_REQUIRES_REVIEW</x:v>
      </x:c>
      <x:c r="G438" s="17" t="str">
        <x:v>UNREVIEWED</x:v>
      </x:c>
      <x:c r="H438" s="17" t="str"/>
      <x:c r="I438" s="17" t="str"/>
      <x:c r="J438" s="17" t="str"/>
      <x:c r="K438" s="17" t="str"/>
      <x:c r="L438" s="17" t="str"/>
      <x:c r="M438" s="17" t="str">
        <x:v>PENDING WHOLE-VIDEO REVIEW</x:v>
      </x:c>
      <x:c r="N438" s="15" t="n">
        <x:v>356</x:v>
      </x:c>
      <x:c r="O438" s="15" t="n">
        <x:v>2640</x:v>
      </x:c>
      <x:c r="P438" s="15" t="n">
        <x:v>751</x:v>
      </x:c>
      <x:c r="Q438" s="13" t="str">
        <x:v>NO_LARGE_TAIL_GAP</x:v>
      </x:c>
      <x:c r="R438" s="13" t="str"/>
      <x:c r="S438" s="16" t="n">
        <x:v>0</x:v>
      </x:c>
      <x:c r="T438" s="13" t="str">
        <x:v>c7be804ea447130578beed72efe5eb5df743b04c736aff991de3aa3d7a991baf</x:v>
      </x:c>
    </x:row>
    <x:row r="439" ht="15" hidden="0" customHeight="1">
      <x:c r="A439" s="13" t="str">
        <x:v>cAf3050pl9g</x:v>
      </x:c>
      <x:c r="B439" s="13" t="str">
        <x:v>Tradng Journal Mastery |  Pre Market | 1 of 3</x:v>
      </x:c>
      <x:c r="C439" s="14" t="d">
        <x:v>2016-07-21T00:00:00.000Z</x:v>
      </x:c>
      <x:c r="D439" s="18" t="e">
        <x:f>HYPERLINK("https://www.youtube.com/watch?v=cAf3050pl9g","Watch video")</x:f>
        <x:v>HYPERLINK is not implemented. linkLocation=https://www.youtube.com/watch?v=cAf3050pl9g, friendlyName=Watch video</x:v>
      </x:c>
      <x:c r="E439" s="18" t="e">
        <x:f>HYPERLINK("transcripts/cAf3050pl9g.html","Complete transcript")</x:f>
        <x:v>HYPERLINK is not implemented. linkLocation=transcripts/cAf3050pl9g.html, friendlyName=Complete transcript</x:v>
      </x:c>
      <x:c r="F439" s="13" t="str">
        <x:v>UNKNOWN_REQUIRES_REVIEW</x:v>
      </x:c>
      <x:c r="G439" s="17" t="str">
        <x:v>UNREVIEWED</x:v>
      </x:c>
      <x:c r="H439" s="17" t="str"/>
      <x:c r="I439" s="17" t="str"/>
      <x:c r="J439" s="17" t="str"/>
      <x:c r="K439" s="17" t="str"/>
      <x:c r="L439" s="17" t="str"/>
      <x:c r="M439" s="17" t="str">
        <x:v>PENDING WHOLE-VIDEO REVIEW</x:v>
      </x:c>
      <x:c r="N439" s="15" t="n">
        <x:v>356</x:v>
      </x:c>
      <x:c r="O439" s="15" t="n">
        <x:v>2617</x:v>
      </x:c>
      <x:c r="P439" s="15" t="n">
        <x:v>804</x:v>
      </x:c>
      <x:c r="Q439" s="13" t="str">
        <x:v>NO_LARGE_TAIL_GAP</x:v>
      </x:c>
      <x:c r="R439" s="13" t="str"/>
      <x:c r="S439" s="16" t="n">
        <x:v>0</x:v>
      </x:c>
      <x:c r="T439" s="13" t="str">
        <x:v>6cace0219596dbaac4a555fb8f66b33b4f2284a08c20fd24a5f98eda18075c8f</x:v>
      </x:c>
    </x:row>
    <x:row r="440" ht="15" hidden="0" customHeight="1">
      <x:c r="A440" s="13" t="str">
        <x:v>cIvXJ0vJTzI</x:v>
      </x:c>
      <x:c r="B440" s="13" t="str">
        <x:v>How to ask the Right Trading Questions</x:v>
      </x:c>
      <x:c r="C440" s="14" t="d">
        <x:v>2015-04-22T00:00:00.000Z</x:v>
      </x:c>
      <x:c r="D440" s="18" t="e">
        <x:f>HYPERLINK("https://www.youtube.com/watch?v=cIvXJ0vJTzI","Watch video")</x:f>
        <x:v>HYPERLINK is not implemented. linkLocation=https://www.youtube.com/watch?v=cIvXJ0vJTzI, friendlyName=Watch video</x:v>
      </x:c>
      <x:c r="E440" s="18" t="e">
        <x:f>HYPERLINK("transcripts/cIvXJ0vJTzI.html","Complete transcript")</x:f>
        <x:v>HYPERLINK is not implemented. linkLocation=transcripts/cIvXJ0vJTzI.html, friendlyName=Complete transcript</x:v>
      </x:c>
      <x:c r="F440" s="13" t="str">
        <x:v>UNKNOWN_REQUIRES_REVIEW</x:v>
      </x:c>
      <x:c r="G440" s="17" t="str">
        <x:v>UNREVIEWED</x:v>
      </x:c>
      <x:c r="H440" s="17" t="str"/>
      <x:c r="I440" s="17" t="str"/>
      <x:c r="J440" s="17" t="str"/>
      <x:c r="K440" s="17" t="str"/>
      <x:c r="L440" s="17" t="str"/>
      <x:c r="M440" s="17" t="str">
        <x:v>PENDING WHOLE-VIDEO REVIEW</x:v>
      </x:c>
      <x:c r="N440" s="15" t="n">
        <x:v>69</x:v>
      </x:c>
      <x:c r="O440" s="15" t="n">
        <x:v>528</x:v>
      </x:c>
      <x:c r="P440" s="15" t="n">
        <x:v>153</x:v>
      </x:c>
      <x:c r="Q440" s="13" t="str">
        <x:v>NO_LARGE_TAIL_GAP</x:v>
      </x:c>
      <x:c r="R440" s="13" t="str"/>
      <x:c r="S440" s="16" t="n">
        <x:v>0</x:v>
      </x:c>
      <x:c r="T440" s="13" t="str">
        <x:v>e9991e2ba7c678af792b393e503beded1d7ddf380a9507236c2ad50ea76c1916</x:v>
      </x:c>
    </x:row>
    <x:row r="441" ht="15" hidden="0" customHeight="1">
      <x:c r="A441" s="13" t="str">
        <x:v>cqhRCWKr3eU</x:v>
      </x:c>
      <x:c r="B441" s="13" t="str">
        <x:v>Level Up Your Trading: Smart Money Strategies Revealed</x:v>
      </x:c>
      <x:c r="C441" s="14" t="d">
        <x:v>2020-11-02T00:00:00.000Z</x:v>
      </x:c>
      <x:c r="D441" s="18" t="e">
        <x:f>HYPERLINK("https://www.youtube.com/watch?v=cqhRCWKr3eU","Watch video")</x:f>
        <x:v>HYPERLINK is not implemented. linkLocation=https://www.youtube.com/watch?v=cqhRCWKr3eU, friendlyName=Watch video</x:v>
      </x:c>
      <x:c r="E441" s="18" t="e">
        <x:f>HYPERLINK("transcripts/cqhRCWKr3eU.html","Complete transcript")</x:f>
        <x:v>HYPERLINK is not implemented. linkLocation=transcripts/cqhRCWKr3eU.html, friendlyName=Complete transcript</x:v>
      </x:c>
      <x:c r="F441" s="13" t="str">
        <x:v>PETE_EXPLICIT</x:v>
      </x:c>
      <x:c r="G441" s="17" t="str">
        <x:v>UNREVIEWED</x:v>
      </x:c>
      <x:c r="H441" s="17" t="str"/>
      <x:c r="I441" s="17" t="str"/>
      <x:c r="J441" s="17" t="str"/>
      <x:c r="K441" s="17" t="str"/>
      <x:c r="L441" s="17" t="str"/>
      <x:c r="M441" s="17" t="str">
        <x:v>PENDING WHOLE-VIDEO REVIEW</x:v>
      </x:c>
      <x:c r="N441" s="15" t="n">
        <x:v>425</x:v>
      </x:c>
      <x:c r="O441" s="15" t="n">
        <x:v>2564</x:v>
      </x:c>
      <x:c r="P441" s="15" t="n">
        <x:v>759</x:v>
      </x:c>
      <x:c r="Q441" s="13" t="str">
        <x:v>NO_LARGE_TAIL_GAP</x:v>
      </x:c>
      <x:c r="R441" s="13" t="str"/>
      <x:c r="S441" s="16" t="n">
        <x:v>0</x:v>
      </x:c>
      <x:c r="T441" s="13" t="str">
        <x:v>18fb1056e3a0dbe712b6c44dde7f5b7a5f9e32d383a16fbb47090fe08d4d2449</x:v>
      </x:c>
    </x:row>
    <x:row r="442" ht="15" hidden="0" customHeight="1">
      <x:c r="A442" s="13" t="str">
        <x:v>cuvWB0EH8tw</x:v>
      </x:c>
      <x:c r="B442" s="13" t="str">
        <x:v>When to Buy Stocks</x:v>
      </x:c>
      <x:c r="C442" s="14" t="d">
        <x:v>2020-05-26T00:00:00.000Z</x:v>
      </x:c>
      <x:c r="D442" s="18" t="e">
        <x:f>HYPERLINK("https://www.youtube.com/watch?v=cuvWB0EH8tw","Watch video")</x:f>
        <x:v>HYPERLINK is not implemented. linkLocation=https://www.youtube.com/watch?v=cuvWB0EH8tw, friendlyName=Watch video</x:v>
      </x:c>
      <x:c r="E442" s="18" t="e">
        <x:f>HYPERLINK("transcripts/cuvWB0EH8tw.html","Complete transcript")</x:f>
        <x:v>HYPERLINK is not implemented. linkLocation=transcripts/cuvWB0EH8tw.html, friendlyName=Complete transcript</x:v>
      </x:c>
      <x:c r="F442" s="13" t="str">
        <x:v>UNKNOWN_REQUIRES_REVIEW</x:v>
      </x:c>
      <x:c r="G442" s="17" t="str">
        <x:v>UNREVIEWED</x:v>
      </x:c>
      <x:c r="H442" s="17" t="str"/>
      <x:c r="I442" s="17" t="str"/>
      <x:c r="J442" s="17" t="str"/>
      <x:c r="K442" s="17" t="str"/>
      <x:c r="L442" s="17" t="str"/>
      <x:c r="M442" s="17" t="str">
        <x:v>PENDING WHOLE-VIDEO REVIEW</x:v>
      </x:c>
      <x:c r="N442" s="15" t="n">
        <x:v>430</x:v>
      </x:c>
      <x:c r="O442" s="15" t="n">
        <x:v>3126</x:v>
      </x:c>
      <x:c r="P442" s="15" t="n">
        <x:v>1013</x:v>
      </x:c>
      <x:c r="Q442" s="13" t="str">
        <x:v>NO_LARGE_TAIL_GAP</x:v>
      </x:c>
      <x:c r="R442" s="13" t="str"/>
      <x:c r="S442" s="16" t="n">
        <x:v>0</x:v>
      </x:c>
      <x:c r="T442" s="13" t="str">
        <x:v>9a1b2b2653419fdeb99229cb94e067b67d6cc49878205a825a8ad41734049ea1</x:v>
      </x:c>
    </x:row>
    <x:row r="443" ht="15" hidden="0" customHeight="1">
      <x:c r="A443" s="13" t="str">
        <x:v>dFzJzEJOnkQ</x:v>
      </x:c>
      <x:c r="B443" s="13" t="str">
        <x:v>Stock Trading Strategies | Best Trade of 2020</x:v>
      </x:c>
      <x:c r="C443" s="14" t="d">
        <x:v>2020-09-18T00:00:00.000Z</x:v>
      </x:c>
      <x:c r="D443" s="18" t="e">
        <x:f>HYPERLINK("https://www.youtube.com/watch?v=dFzJzEJOnkQ","Watch video")</x:f>
        <x:v>HYPERLINK is not implemented. linkLocation=https://www.youtube.com/watch?v=dFzJzEJOnkQ, friendlyName=Watch video</x:v>
      </x:c>
      <x:c r="E443" s="18" t="e">
        <x:f>HYPERLINK("transcripts/dFzJzEJOnkQ.html","Complete transcript")</x:f>
        <x:v>HYPERLINK is not implemented. linkLocation=transcripts/dFzJzEJOnkQ.html, friendlyName=Complete transcript</x:v>
      </x:c>
      <x:c r="F443" s="13" t="str">
        <x:v>PETE_EXPLICIT</x:v>
      </x:c>
      <x:c r="G443" s="17" t="str">
        <x:v>UNREVIEWED</x:v>
      </x:c>
      <x:c r="H443" s="17" t="str"/>
      <x:c r="I443" s="17" t="str"/>
      <x:c r="J443" s="17" t="str"/>
      <x:c r="K443" s="17" t="str"/>
      <x:c r="L443" s="17" t="str"/>
      <x:c r="M443" s="17" t="str">
        <x:v>PENDING WHOLE-VIDEO REVIEW</x:v>
      </x:c>
      <x:c r="N443" s="15" t="n">
        <x:v>484</x:v>
      </x:c>
      <x:c r="O443" s="15" t="n">
        <x:v>3013</x:v>
      </x:c>
      <x:c r="P443" s="15" t="n">
        <x:v>841</x:v>
      </x:c>
      <x:c r="Q443" s="13" t="str">
        <x:v>NO_LARGE_TAIL_GAP</x:v>
      </x:c>
      <x:c r="R443" s="13" t="str"/>
      <x:c r="S443" s="16" t="n">
        <x:v>0</x:v>
      </x:c>
      <x:c r="T443" s="13" t="str">
        <x:v>33c04e0158f29867549484b22c359b3495b57b715450b1ee76a88faabbeddb92</x:v>
      </x:c>
    </x:row>
    <x:row r="444" ht="15" hidden="0" customHeight="1">
      <x:c r="A444" s="13" t="str">
        <x:v>dO5fZAGrPrU</x:v>
      </x:c>
      <x:c r="B444" s="13" t="str">
        <x:v>Why Every Day Trading Setup Feels Like Rolling Dice</x:v>
      </x:c>
      <x:c r="C444" s="14" t="d">
        <x:v>2025-11-01T00:00:00.000Z</x:v>
      </x:c>
      <x:c r="D444" s="18" t="e">
        <x:f>HYPERLINK("https://www.youtube.com/watch?v=dO5fZAGrPrU","Watch video")</x:f>
        <x:v>HYPERLINK is not implemented. linkLocation=https://www.youtube.com/watch?v=dO5fZAGrPrU, friendlyName=Watch video</x:v>
      </x:c>
      <x:c r="E444" s="18" t="e">
        <x:f>HYPERLINK("transcripts/dO5fZAGrPrU.html","Complete transcript")</x:f>
        <x:v>HYPERLINK is not implemented. linkLocation=transcripts/dO5fZAGrPrU.html, friendlyName=Complete transcript</x:v>
      </x:c>
      <x:c r="F444" s="13" t="str">
        <x:v>PETE_EXPLICIT</x:v>
      </x:c>
      <x:c r="G444" s="17" t="str">
        <x:v>UNREVIEWED</x:v>
      </x:c>
      <x:c r="H444" s="17" t="str"/>
      <x:c r="I444" s="17" t="str"/>
      <x:c r="J444" s="17" t="str"/>
      <x:c r="K444" s="17" t="str"/>
      <x:c r="L444" s="17" t="str"/>
      <x:c r="M444" s="17" t="str">
        <x:v>PENDING WHOLE-VIDEO REVIEW</x:v>
      </x:c>
      <x:c r="N444" s="15" t="n">
        <x:v>751</x:v>
      </x:c>
      <x:c r="O444" s="15" t="n">
        <x:v>5292</x:v>
      </x:c>
      <x:c r="P444" s="15" t="n">
        <x:v>1579</x:v>
      </x:c>
      <x:c r="Q444" s="13" t="str">
        <x:v>NO_LARGE_TAIL_GAP</x:v>
      </x:c>
      <x:c r="R444" s="13" t="str"/>
      <x:c r="S444" s="16" t="n">
        <x:v>0</x:v>
      </x:c>
      <x:c r="T444" s="13" t="str">
        <x:v>bad22c668d35734510237bb8fe180eacb161e36329f7b0cb8456a4c3756c5789</x:v>
      </x:c>
    </x:row>
    <x:row r="445" ht="15" hidden="0" customHeight="1">
      <x:c r="A445" s="13" t="str">
        <x:v>dQbwTW2ch7o</x:v>
      </x:c>
      <x:c r="B445" s="13" t="str">
        <x:v>SpaceX IPO: How to Trade Options Volatility &amp; Implied Volatility Crushes</x:v>
      </x:c>
      <x:c r="C445" s="14" t="d">
        <x:v>2026-05-30T00:00:00.000Z</x:v>
      </x:c>
      <x:c r="D445" s="18" t="e">
        <x:f>HYPERLINK("https://www.youtube.com/watch?v=dQbwTW2ch7o","Watch video")</x:f>
        <x:v>HYPERLINK is not implemented. linkLocation=https://www.youtube.com/watch?v=dQbwTW2ch7o, friendlyName=Watch video</x:v>
      </x:c>
      <x:c r="E445" s="18" t="e">
        <x:f>HYPERLINK("transcripts/dQbwTW2ch7o.html","Complete transcript")</x:f>
        <x:v>HYPERLINK is not implemented. linkLocation=transcripts/dQbwTW2ch7o.html, friendlyName=Complete transcript</x:v>
      </x:c>
      <x:c r="F445" s="13" t="str">
        <x:v>UNKNOWN_REQUIRES_REVIEW</x:v>
      </x:c>
      <x:c r="G445" s="17" t="str">
        <x:v>UNREVIEWED</x:v>
      </x:c>
      <x:c r="H445" s="17" t="str"/>
      <x:c r="I445" s="17" t="str"/>
      <x:c r="J445" s="17" t="str"/>
      <x:c r="K445" s="17" t="str"/>
      <x:c r="L445" s="17" t="str"/>
      <x:c r="M445" s="17" t="str">
        <x:v>PENDING WHOLE-VIDEO REVIEW</x:v>
      </x:c>
      <x:c r="N445" s="15" t="n">
        <x:v>352</x:v>
      </x:c>
      <x:c r="O445" s="15" t="n">
        <x:v>2526</x:v>
      </x:c>
      <x:c r="P445" s="15" t="n">
        <x:v>867</x:v>
      </x:c>
      <x:c r="Q445" s="13" t="str">
        <x:v>NO_LARGE_TAIL_GAP</x:v>
      </x:c>
      <x:c r="R445" s="13" t="str"/>
      <x:c r="S445" s="16" t="n">
        <x:v>0</x:v>
      </x:c>
      <x:c r="T445" s="13" t="str">
        <x:v>c683a825c6c07adbc8b89490a5a6b0ab12f404cd4400e18044736c21f39ffd20</x:v>
      </x:c>
    </x:row>
    <x:row r="446" ht="15" hidden="0" customHeight="1">
      <x:c r="A446" s="13" t="str">
        <x:v>dSQ208M9PYo</x:v>
      </x:c>
      <x:c r="B446" s="13" t="str">
        <x:v>Best Stock Picks Today | AAPL Earnings Report 1-27-21</x:v>
      </x:c>
      <x:c r="C446" s="14" t="d">
        <x:v>2021-01-27T00:00:00.000Z</x:v>
      </x:c>
      <x:c r="D446" s="18" t="e">
        <x:f>HYPERLINK("https://www.youtube.com/watch?v=dSQ208M9PYo","Watch video")</x:f>
        <x:v>HYPERLINK is not implemented. linkLocation=https://www.youtube.com/watch?v=dSQ208M9PYo, friendlyName=Watch video</x:v>
      </x:c>
      <x:c r="E446" s="18" t="e">
        <x:f>HYPERLINK("transcripts/dSQ208M9PYo.html","Complete transcript")</x:f>
        <x:v>HYPERLINK is not implemented. linkLocation=transcripts/dSQ208M9PYo.html, friendlyName=Complete transcript</x:v>
      </x:c>
      <x:c r="F446" s="13" t="str">
        <x:v>PETE_EXPLICIT</x:v>
      </x:c>
      <x:c r="G446" s="17" t="str">
        <x:v>UNREVIEWED</x:v>
      </x:c>
      <x:c r="H446" s="17" t="str"/>
      <x:c r="I446" s="17" t="str"/>
      <x:c r="J446" s="17" t="str"/>
      <x:c r="K446" s="17" t="str"/>
      <x:c r="L446" s="17" t="str"/>
      <x:c r="M446" s="17" t="str">
        <x:v>PENDING WHOLE-VIDEO REVIEW</x:v>
      </x:c>
      <x:c r="N446" s="15" t="n">
        <x:v>404</x:v>
      </x:c>
      <x:c r="O446" s="15" t="n">
        <x:v>2502</x:v>
      </x:c>
      <x:c r="P446" s="15" t="n">
        <x:v>729</x:v>
      </x:c>
      <x:c r="Q446" s="13" t="str">
        <x:v>NO_LARGE_TAIL_GAP</x:v>
      </x:c>
      <x:c r="R446" s="13" t="str"/>
      <x:c r="S446" s="16" t="n">
        <x:v>0</x:v>
      </x:c>
      <x:c r="T446" s="13" t="str">
        <x:v>9c3d07892ea8298a210ab98a6a765cf2f7427b21a02cdab779fd10b49a33607a</x:v>
      </x:c>
    </x:row>
    <x:row r="447" ht="15" hidden="0" customHeight="1">
      <x:c r="A447" s="13" t="str">
        <x:v>dXMX-zJbBOA</x:v>
      </x:c>
      <x:c r="B447" s="13" t="str">
        <x:v>Your 2025  Options Trading Playbook</x:v>
      </x:c>
      <x:c r="C447" s="14" t="d">
        <x:v>2025-01-05T00:00:00.000Z</x:v>
      </x:c>
      <x:c r="D447" s="18" t="e">
        <x:f>HYPERLINK("https://www.youtube.com/watch?v=dXMX-zJbBOA","Watch video")</x:f>
        <x:v>HYPERLINK is not implemented. linkLocation=https://www.youtube.com/watch?v=dXMX-zJbBOA, friendlyName=Watch video</x:v>
      </x:c>
      <x:c r="E447" s="18" t="e">
        <x:f>HYPERLINK("transcripts/dXMX-zJbBOA.html","Complete transcript")</x:f>
        <x:v>HYPERLINK is not implemented. linkLocation=transcripts/dXMX-zJbBOA.html, friendlyName=Complete transcript</x:v>
      </x:c>
      <x:c r="F447" s="13" t="str">
        <x:v>UNKNOWN_REQUIRES_REVIEW</x:v>
      </x:c>
      <x:c r="G447" s="17" t="str">
        <x:v>UNREVIEWED</x:v>
      </x:c>
      <x:c r="H447" s="17" t="str"/>
      <x:c r="I447" s="17" t="str"/>
      <x:c r="J447" s="17" t="str"/>
      <x:c r="K447" s="17" t="str"/>
      <x:c r="L447" s="17" t="str"/>
      <x:c r="M447" s="17" t="str">
        <x:v>PENDING WHOLE-VIDEO REVIEW</x:v>
      </x:c>
      <x:c r="N447" s="15" t="n">
        <x:v>271</x:v>
      </x:c>
      <x:c r="O447" s="15" t="n">
        <x:v>2014</x:v>
      </x:c>
      <x:c r="P447" s="15" t="n">
        <x:v>628</x:v>
      </x:c>
      <x:c r="Q447" s="13" t="str">
        <x:v>NO_LARGE_TAIL_GAP</x:v>
      </x:c>
      <x:c r="R447" s="13" t="str"/>
      <x:c r="S447" s="16" t="n">
        <x:v>0</x:v>
      </x:c>
      <x:c r="T447" s="13" t="str">
        <x:v>bc3e5122ba7d115a386d6602f4dc267e81edb8311dcc005672e7d6677cf51ae9</x:v>
      </x:c>
    </x:row>
    <x:row r="448" ht="15" hidden="0" customHeight="1">
      <x:c r="A448" s="13" t="str">
        <x:v>dYO-MpQ8XnI</x:v>
      </x:c>
      <x:c r="B448" s="13" t="str">
        <x:v>Trade Stocks Options or Futures?</x:v>
      </x:c>
      <x:c r="C448" s="14" t="d">
        <x:v>2020-05-19T00:00:00.000Z</x:v>
      </x:c>
      <x:c r="D448" s="18" t="e">
        <x:f>HYPERLINK("https://www.youtube.com/watch?v=dYO-MpQ8XnI","Watch video")</x:f>
        <x:v>HYPERLINK is not implemented. linkLocation=https://www.youtube.com/watch?v=dYO-MpQ8XnI, friendlyName=Watch video</x:v>
      </x:c>
      <x:c r="E448" s="18" t="e">
        <x:f>HYPERLINK("transcripts/dYO-MpQ8XnI.html","Complete transcript")</x:f>
        <x:v>HYPERLINK is not implemented. linkLocation=transcripts/dYO-MpQ8XnI.html, friendlyName=Complete transcript</x:v>
      </x:c>
      <x:c r="F448" s="13" t="str">
        <x:v>UNKNOWN_REQUIRES_REVIEW</x:v>
      </x:c>
      <x:c r="G448" s="17" t="str">
        <x:v>UNREVIEWED</x:v>
      </x:c>
      <x:c r="H448" s="17" t="str"/>
      <x:c r="I448" s="17" t="str"/>
      <x:c r="J448" s="17" t="str"/>
      <x:c r="K448" s="17" t="str"/>
      <x:c r="L448" s="17" t="str"/>
      <x:c r="M448" s="17" t="str">
        <x:v>PENDING WHOLE-VIDEO REVIEW</x:v>
      </x:c>
      <x:c r="N448" s="15" t="n">
        <x:v>514</x:v>
      </x:c>
      <x:c r="O448" s="15" t="n">
        <x:v>3648</x:v>
      </x:c>
      <x:c r="P448" s="15" t="n">
        <x:v>1153</x:v>
      </x:c>
      <x:c r="Q448" s="13" t="str">
        <x:v>NO_LARGE_TAIL_GAP</x:v>
      </x:c>
      <x:c r="R448" s="13" t="str"/>
      <x:c r="S448" s="16" t="n">
        <x:v>0</x:v>
      </x:c>
      <x:c r="T448" s="13" t="str">
        <x:v>5afc7b05a08c8068499600eeafdedce1a7b5df402fd6be3bc74c4fe58f8a7c1d</x:v>
      </x:c>
    </x:row>
    <x:row r="449" ht="15" hidden="0" customHeight="1">
      <x:c r="A449" s="13" t="str">
        <x:v>daC6c8_gnTI</x:v>
      </x:c>
      <x:c r="B449" s="13" t="str">
        <x:v>4 Candlesticks that Help You Trade Stocks for Monthly Cash Flow</x:v>
      </x:c>
      <x:c r="C449" s="14" t="d">
        <x:v>2020-06-02T00:00:00.000Z</x:v>
      </x:c>
      <x:c r="D449" s="18" t="e">
        <x:f>HYPERLINK("https://www.youtube.com/watch?v=daC6c8_gnTI","Watch video")</x:f>
        <x:v>HYPERLINK is not implemented. linkLocation=https://www.youtube.com/watch?v=daC6c8_gnTI, friendlyName=Watch video</x:v>
      </x:c>
      <x:c r="E449" s="18" t="e">
        <x:f>HYPERLINK("transcripts/daC6c8_gnTI.html","Complete transcript")</x:f>
        <x:v>HYPERLINK is not implemented. linkLocation=transcripts/daC6c8_gnTI.html, friendlyName=Complete transcript</x:v>
      </x:c>
      <x:c r="F449" s="13" t="str">
        <x:v>UNKNOWN_REQUIRES_REVIEW</x:v>
      </x:c>
      <x:c r="G449" s="17" t="str">
        <x:v>UNREVIEWED</x:v>
      </x:c>
      <x:c r="H449" s="17" t="str"/>
      <x:c r="I449" s="17" t="str"/>
      <x:c r="J449" s="17" t="str"/>
      <x:c r="K449" s="17" t="str"/>
      <x:c r="L449" s="17" t="str"/>
      <x:c r="M449" s="17" t="str">
        <x:v>PENDING WHOLE-VIDEO REVIEW</x:v>
      </x:c>
      <x:c r="N449" s="15" t="n">
        <x:v>424</x:v>
      </x:c>
      <x:c r="O449" s="15" t="n">
        <x:v>3030</x:v>
      </x:c>
      <x:c r="P449" s="15" t="n">
        <x:v>893</x:v>
      </x:c>
      <x:c r="Q449" s="13" t="str">
        <x:v>NO_LARGE_TAIL_GAP</x:v>
      </x:c>
      <x:c r="R449" s="13" t="str"/>
      <x:c r="S449" s="16" t="n">
        <x:v>0</x:v>
      </x:c>
      <x:c r="T449" s="13" t="str">
        <x:v>265c192209b85dc108aea24cb3b04035e63442f1292d072e2f7661fb73e8eff9</x:v>
      </x:c>
    </x:row>
    <x:row r="450" ht="15" hidden="0" customHeight="1">
      <x:c r="A450" s="13" t="str">
        <x:v>dgJzGtckl8Y</x:v>
      </x:c>
      <x:c r="B450" s="13" t="str">
        <x:v>Best Stock Picks Today | FUBO VIGOTRY Deal 1-13-21</x:v>
      </x:c>
      <x:c r="C450" s="14" t="d">
        <x:v>2021-01-13T00:00:00.000Z</x:v>
      </x:c>
      <x:c r="D450" s="18" t="e">
        <x:f>HYPERLINK("https://www.youtube.com/watch?v=dgJzGtckl8Y","Watch video")</x:f>
        <x:v>HYPERLINK is not implemented. linkLocation=https://www.youtube.com/watch?v=dgJzGtckl8Y, friendlyName=Watch video</x:v>
      </x:c>
      <x:c r="E450" s="18" t="e">
        <x:f>HYPERLINK("transcripts/dgJzGtckl8Y.html","Complete transcript")</x:f>
        <x:v>HYPERLINK is not implemented. linkLocation=transcripts/dgJzGtckl8Y.html, friendlyName=Complete transcript</x:v>
      </x:c>
      <x:c r="F450" s="13" t="str">
        <x:v>PETE_EXPLICIT</x:v>
      </x:c>
      <x:c r="G450" s="17" t="str">
        <x:v>UNREVIEWED</x:v>
      </x:c>
      <x:c r="H450" s="17" t="str"/>
      <x:c r="I450" s="17" t="str"/>
      <x:c r="J450" s="17" t="str"/>
      <x:c r="K450" s="17" t="str"/>
      <x:c r="L450" s="17" t="str"/>
      <x:c r="M450" s="17" t="str">
        <x:v>PENDING WHOLE-VIDEO REVIEW</x:v>
      </x:c>
      <x:c r="N450" s="15" t="n">
        <x:v>309</x:v>
      </x:c>
      <x:c r="O450" s="15" t="n">
        <x:v>1991</x:v>
      </x:c>
      <x:c r="P450" s="15" t="n">
        <x:v>539</x:v>
      </x:c>
      <x:c r="Q450" s="13" t="str">
        <x:v>NO_LARGE_TAIL_GAP</x:v>
      </x:c>
      <x:c r="R450" s="13" t="str"/>
      <x:c r="S450" s="16" t="n">
        <x:v>0</x:v>
      </x:c>
      <x:c r="T450" s="13" t="str">
        <x:v>92dd19b926958988b3f5fbd9c89d2e2e08f1fa3aecb4dc2d7e09fe41b6cd06e9</x:v>
      </x:c>
    </x:row>
    <x:row r="451" ht="15" hidden="0" customHeight="1">
      <x:c r="A451" s="13" t="str">
        <x:v>dmF_fyIUjds</x:v>
      </x:c>
      <x:c r="B451" s="13" t="str">
        <x:v>Day Trading Strategies- Entries | Stocks for Breakfast</x:v>
      </x:c>
      <x:c r="C451" s="14" t="d">
        <x:v>2020-08-12T00:00:00.000Z</x:v>
      </x:c>
      <x:c r="D451" s="18" t="e">
        <x:f>HYPERLINK("https://www.youtube.com/watch?v=dmF_fyIUjds","Watch video")</x:f>
        <x:v>HYPERLINK is not implemented. linkLocation=https://www.youtube.com/watch?v=dmF_fyIUjds, friendlyName=Watch video</x:v>
      </x:c>
      <x:c r="E451" s="18" t="e">
        <x:f>HYPERLINK("transcripts/dmF_fyIUjds.html","Complete transcript")</x:f>
        <x:v>HYPERLINK is not implemented. linkLocation=transcripts/dmF_fyIUjds.html, friendlyName=Complete transcript</x:v>
      </x:c>
      <x:c r="F451" s="13" t="str">
        <x:v>PETE_EXPLICIT</x:v>
      </x:c>
      <x:c r="G451" s="17" t="str">
        <x:v>UNREVIEWED</x:v>
      </x:c>
      <x:c r="H451" s="17" t="str"/>
      <x:c r="I451" s="17" t="str"/>
      <x:c r="J451" s="17" t="str"/>
      <x:c r="K451" s="17" t="str"/>
      <x:c r="L451" s="17" t="str"/>
      <x:c r="M451" s="17" t="str">
        <x:v>PENDING WHOLE-VIDEO REVIEW</x:v>
      </x:c>
      <x:c r="N451" s="15" t="n">
        <x:v>541</x:v>
      </x:c>
      <x:c r="O451" s="15" t="n">
        <x:v>3515</x:v>
      </x:c>
      <x:c r="P451" s="15" t="n">
        <x:v>947</x:v>
      </x:c>
      <x:c r="Q451" s="13" t="str">
        <x:v>NO_LARGE_TAIL_GAP</x:v>
      </x:c>
      <x:c r="R451" s="13" t="str"/>
      <x:c r="S451" s="16" t="n">
        <x:v>0</x:v>
      </x:c>
      <x:c r="T451" s="13" t="str">
        <x:v>ccf98ef7d08192a4502f63e5480f570a76bc57ed5086abf913f15fc19ada0c7d</x:v>
      </x:c>
    </x:row>
    <x:row r="452" ht="15" hidden="0" customHeight="1">
      <x:c r="A452" s="13" t="str">
        <x:v>dmioEMyr8xw</x:v>
      </x:c>
      <x:c r="B452" s="13" t="str">
        <x:v>Stock Trading For Beginners | Coaching Call 10-27-20</x:v>
      </x:c>
      <x:c r="C452" s="14" t="d">
        <x:v>2020-10-28T00:00:00.000Z</x:v>
      </x:c>
      <x:c r="D452" s="18" t="e">
        <x:f>HYPERLINK("https://www.youtube.com/watch?v=dmioEMyr8xw","Watch video")</x:f>
        <x:v>HYPERLINK is not implemented. linkLocation=https://www.youtube.com/watch?v=dmioEMyr8xw, friendlyName=Watch video</x:v>
      </x:c>
      <x:c r="E452" s="18" t="e">
        <x:f>HYPERLINK("transcripts/dmioEMyr8xw.html","Complete transcript")</x:f>
        <x:v>HYPERLINK is not implemented. linkLocation=transcripts/dmioEMyr8xw.html, friendlyName=Complete transcript</x:v>
      </x:c>
      <x:c r="F452" s="13" t="str">
        <x:v>UNKNOWN_REQUIRES_REVIEW</x:v>
      </x:c>
      <x:c r="G452" s="17" t="str">
        <x:v>UNREVIEWED</x:v>
      </x:c>
      <x:c r="H452" s="17" t="str"/>
      <x:c r="I452" s="17" t="str"/>
      <x:c r="J452" s="17" t="str"/>
      <x:c r="K452" s="17" t="str"/>
      <x:c r="L452" s="17" t="str"/>
      <x:c r="M452" s="17" t="str">
        <x:v>PENDING WHOLE-VIDEO REVIEW</x:v>
      </x:c>
      <x:c r="N452" s="15" t="n">
        <x:v>2058</x:v>
      </x:c>
      <x:c r="O452" s="15" t="n">
        <x:v>13126</x:v>
      </x:c>
      <x:c r="P452" s="15" t="n">
        <x:v>3777</x:v>
      </x:c>
      <x:c r="Q452" s="13" t="str">
        <x:v>NO_LARGE_TAIL_GAP</x:v>
      </x:c>
      <x:c r="R452" s="13" t="str"/>
      <x:c r="S452" s="16" t="n">
        <x:v>0</x:v>
      </x:c>
      <x:c r="T452" s="13" t="str">
        <x:v>5192ce9e75f15d83908592956e91c348eb412c936b2be831558e2c651cd8653f</x:v>
      </x:c>
    </x:row>
    <x:row r="453" ht="15" hidden="0" customHeight="1">
      <x:c r="A453" s="13" t="str">
        <x:v>dqEAXQMQUdA</x:v>
      </x:c>
      <x:c r="B453" s="13" t="str">
        <x:v>How I Day Trade Stocks: Full Strategy Revealed (NYC Firm Owner)</x:v>
      </x:c>
      <x:c r="C453" s="14" t="d">
        <x:v>2025-08-04T00:00:00.000Z</x:v>
      </x:c>
      <x:c r="D453" s="18" t="e">
        <x:f>HYPERLINK("https://www.youtube.com/watch?v=dqEAXQMQUdA","Watch video")</x:f>
        <x:v>HYPERLINK is not implemented. linkLocation=https://www.youtube.com/watch?v=dqEAXQMQUdA, friendlyName=Watch video</x:v>
      </x:c>
      <x:c r="E453" s="18" t="e">
        <x:f>HYPERLINK("transcripts/dqEAXQMQUdA.html","Complete transcript")</x:f>
        <x:v>HYPERLINK is not implemented. linkLocation=transcripts/dqEAXQMQUdA.html, friendlyName=Complete transcript</x:v>
      </x:c>
      <x:c r="F453" s="13" t="str">
        <x:v>PETE_EXPLICIT</x:v>
      </x:c>
      <x:c r="G453" s="17" t="str">
        <x:v>UNREVIEWED</x:v>
      </x:c>
      <x:c r="H453" s="17" t="str"/>
      <x:c r="I453" s="17" t="str"/>
      <x:c r="J453" s="17" t="str"/>
      <x:c r="K453" s="17" t="str"/>
      <x:c r="L453" s="17" t="str"/>
      <x:c r="M453" s="17" t="str">
        <x:v>PENDING WHOLE-VIDEO REVIEW</x:v>
      </x:c>
      <x:c r="N453" s="15" t="n">
        <x:v>1135</x:v>
      </x:c>
      <x:c r="O453" s="15" t="n">
        <x:v>8276</x:v>
      </x:c>
      <x:c r="P453" s="15" t="n">
        <x:v>2242</x:v>
      </x:c>
      <x:c r="Q453" s="13" t="str">
        <x:v>NO_LARGE_TAIL_GAP</x:v>
      </x:c>
      <x:c r="R453" s="13" t="str"/>
      <x:c r="S453" s="16" t="n">
        <x:v>0</x:v>
      </x:c>
      <x:c r="T453" s="13" t="str">
        <x:v>dac42225b04132f6be4b7ee2a17a1f2533a01d6199da5274dbe8aa022821754b</x:v>
      </x:c>
    </x:row>
    <x:row r="454" ht="15" hidden="0" customHeight="1">
      <x:c r="A454" s="13" t="str">
        <x:v>e0YPngrTBu8</x:v>
      </x:c>
      <x:c r="B454" s="13" t="str">
        <x:v>Best Stock Picks Today | DRI Swing Trade 9-25-20</x:v>
      </x:c>
      <x:c r="C454" s="14" t="d">
        <x:v>2020-09-25T00:00:00.000Z</x:v>
      </x:c>
      <x:c r="D454" s="18" t="e">
        <x:f>HYPERLINK("https://www.youtube.com/watch?v=e0YPngrTBu8","Watch video")</x:f>
        <x:v>HYPERLINK is not implemented. linkLocation=https://www.youtube.com/watch?v=e0YPngrTBu8, friendlyName=Watch video</x:v>
      </x:c>
      <x:c r="E454" s="18" t="e">
        <x:f>HYPERLINK("transcripts/e0YPngrTBu8.html","Complete transcript")</x:f>
        <x:v>HYPERLINK is not implemented. linkLocation=transcripts/e0YPngrTBu8.html, friendlyName=Complete transcript</x:v>
      </x:c>
      <x:c r="F454" s="13" t="str">
        <x:v>PETE_EXPLICIT</x:v>
      </x:c>
      <x:c r="G454" s="17" t="str">
        <x:v>UNREVIEWED</x:v>
      </x:c>
      <x:c r="H454" s="17" t="str"/>
      <x:c r="I454" s="17" t="str"/>
      <x:c r="J454" s="17" t="str"/>
      <x:c r="K454" s="17" t="str"/>
      <x:c r="L454" s="17" t="str"/>
      <x:c r="M454" s="17" t="str">
        <x:v>PENDING WHOLE-VIDEO REVIEW</x:v>
      </x:c>
      <x:c r="N454" s="15" t="n">
        <x:v>322</x:v>
      </x:c>
      <x:c r="O454" s="15" t="n">
        <x:v>1994</x:v>
      </x:c>
      <x:c r="P454" s="15" t="n">
        <x:v>565</x:v>
      </x:c>
      <x:c r="Q454" s="13" t="str">
        <x:v>NO_LARGE_TAIL_GAP</x:v>
      </x:c>
      <x:c r="R454" s="13" t="str"/>
      <x:c r="S454" s="16" t="n">
        <x:v>0</x:v>
      </x:c>
      <x:c r="T454" s="13" t="str">
        <x:v>7a6188e847a91e5afab7398a58d9b3d4aefd1390d0813cbb84084b98eabbe0e3</x:v>
      </x:c>
    </x:row>
    <x:row r="455" ht="15" hidden="0" customHeight="1">
      <x:c r="A455" s="13" t="str">
        <x:v>eGnQxmpdVsE</x:v>
      </x:c>
      <x:c r="B455" s="13" t="str">
        <x:v>Trading W Wayfair 5-8-20 | Best Stock Picks Today</x:v>
      </x:c>
      <x:c r="C455" s="14" t="d">
        <x:v>2020-05-08T00:00:00.000Z</x:v>
      </x:c>
      <x:c r="D455" s="18" t="e">
        <x:f>HYPERLINK("https://www.youtube.com/watch?v=eGnQxmpdVsE","Watch video")</x:f>
        <x:v>HYPERLINK is not implemented. linkLocation=https://www.youtube.com/watch?v=eGnQxmpdVsE, friendlyName=Watch video</x:v>
      </x:c>
      <x:c r="E455" s="18" t="e">
        <x:f>HYPERLINK("transcripts/eGnQxmpdVsE.html","Complete transcript")</x:f>
        <x:v>HYPERLINK is not implemented. linkLocation=transcripts/eGnQxmpdVsE.html, friendlyName=Complete transcript</x:v>
      </x:c>
      <x:c r="F455" s="13" t="str">
        <x:v>PETE_EXPLICIT</x:v>
      </x:c>
      <x:c r="G455" s="17" t="str">
        <x:v>UNREVIEWED</x:v>
      </x:c>
      <x:c r="H455" s="17" t="str"/>
      <x:c r="I455" s="17" t="str"/>
      <x:c r="J455" s="17" t="str"/>
      <x:c r="K455" s="17" t="str"/>
      <x:c r="L455" s="17" t="str"/>
      <x:c r="M455" s="17" t="str">
        <x:v>PENDING WHOLE-VIDEO REVIEW</x:v>
      </x:c>
      <x:c r="N455" s="15" t="n">
        <x:v>505</x:v>
      </x:c>
      <x:c r="O455" s="15" t="n">
        <x:v>3226</x:v>
      </x:c>
      <x:c r="P455" s="15" t="n">
        <x:v>903</x:v>
      </x:c>
      <x:c r="Q455" s="13" t="str">
        <x:v>NO_LARGE_TAIL_GAP</x:v>
      </x:c>
      <x:c r="R455" s="13" t="str"/>
      <x:c r="S455" s="16" t="n">
        <x:v>0</x:v>
      </x:c>
      <x:c r="T455" s="13" t="str">
        <x:v>85ea7b804e425da9f561d98edef7c0040544d2c8fd5ebc4466fe1264a0a6e87f</x:v>
      </x:c>
    </x:row>
    <x:row r="456" ht="15" hidden="0" customHeight="1">
      <x:c r="A456" s="13" t="str">
        <x:v>eOnlxvIwbhU</x:v>
      </x:c>
      <x:c r="B456" s="13" t="str">
        <x:v>Stocks to Trade Today | Stocks for Breakfast</x:v>
      </x:c>
      <x:c r="C456" s="14" t="d">
        <x:v>2020-08-07T00:00:00.000Z</x:v>
      </x:c>
      <x:c r="D456" s="18" t="e">
        <x:f>HYPERLINK("https://www.youtube.com/watch?v=eOnlxvIwbhU","Watch video")</x:f>
        <x:v>HYPERLINK is not implemented. linkLocation=https://www.youtube.com/watch?v=eOnlxvIwbhU, friendlyName=Watch video</x:v>
      </x:c>
      <x:c r="E456" s="18" t="e">
        <x:f>HYPERLINK("transcripts/eOnlxvIwbhU.html","Complete transcript")</x:f>
        <x:v>HYPERLINK is not implemented. linkLocation=transcripts/eOnlxvIwbhU.html, friendlyName=Complete transcript</x:v>
      </x:c>
      <x:c r="F456" s="13" t="str">
        <x:v>PETE_EXPLICIT</x:v>
      </x:c>
      <x:c r="G456" s="17" t="str">
        <x:v>UNREVIEWED</x:v>
      </x:c>
      <x:c r="H456" s="17" t="str"/>
      <x:c r="I456" s="17" t="str"/>
      <x:c r="J456" s="17" t="str"/>
      <x:c r="K456" s="17" t="str"/>
      <x:c r="L456" s="17" t="str"/>
      <x:c r="M456" s="17" t="str">
        <x:v>PENDING WHOLE-VIDEO REVIEW</x:v>
      </x:c>
      <x:c r="N456" s="15" t="n">
        <x:v>496</x:v>
      </x:c>
      <x:c r="O456" s="15" t="n">
        <x:v>3212</x:v>
      </x:c>
      <x:c r="P456" s="15" t="n">
        <x:v>852</x:v>
      </x:c>
      <x:c r="Q456" s="13" t="str">
        <x:v>NO_LARGE_TAIL_GAP</x:v>
      </x:c>
      <x:c r="R456" s="13" t="str"/>
      <x:c r="S456" s="16" t="n">
        <x:v>0</x:v>
      </x:c>
      <x:c r="T456" s="13" t="str">
        <x:v>bd5a621b1f27e604bffd082852130702e5c96778755a98d145aac5b7722ff610</x:v>
      </x:c>
    </x:row>
    <x:row r="457" ht="15" hidden="0" customHeight="1">
      <x:c r="A457" s="13" t="str">
        <x:v>eSTpi6DaysM</x:v>
      </x:c>
      <x:c r="B457" s="13" t="str">
        <x:v>How to Find the Best Stocks to Buy 2021</x:v>
      </x:c>
      <x:c r="C457" s="14" t="d">
        <x:v>2020-05-07T00:00:00.000Z</x:v>
      </x:c>
      <x:c r="D457" s="18" t="e">
        <x:f>HYPERLINK("https://www.youtube.com/watch?v=eSTpi6DaysM","Watch video")</x:f>
        <x:v>HYPERLINK is not implemented. linkLocation=https://www.youtube.com/watch?v=eSTpi6DaysM, friendlyName=Watch video</x:v>
      </x:c>
      <x:c r="E457" s="18" t="e">
        <x:f>HYPERLINK("transcripts/eSTpi6DaysM.html","Complete transcript")</x:f>
        <x:v>HYPERLINK is not implemented. linkLocation=transcripts/eSTpi6DaysM.html, friendlyName=Complete transcript</x:v>
      </x:c>
      <x:c r="F457" s="13" t="str">
        <x:v>UNKNOWN_REQUIRES_REVIEW</x:v>
      </x:c>
      <x:c r="G457" s="17" t="str">
        <x:v>UNREVIEWED</x:v>
      </x:c>
      <x:c r="H457" s="17" t="str"/>
      <x:c r="I457" s="17" t="str"/>
      <x:c r="J457" s="17" t="str"/>
      <x:c r="K457" s="17" t="str"/>
      <x:c r="L457" s="17" t="str"/>
      <x:c r="M457" s="17" t="str">
        <x:v>PENDING WHOLE-VIDEO REVIEW</x:v>
      </x:c>
      <x:c r="N457" s="15" t="n">
        <x:v>372</x:v>
      </x:c>
      <x:c r="O457" s="15" t="n">
        <x:v>2729</x:v>
      </x:c>
      <x:c r="P457" s="15" t="n">
        <x:v>858</x:v>
      </x:c>
      <x:c r="Q457" s="13" t="str">
        <x:v>NO_LARGE_TAIL_GAP</x:v>
      </x:c>
      <x:c r="R457" s="13" t="str"/>
      <x:c r="S457" s="16" t="n">
        <x:v>0</x:v>
      </x:c>
      <x:c r="T457" s="13" t="str">
        <x:v>ddc5afbc928c667454dcf11292083e19df3df5edc2d5613624ffda5087fd8791</x:v>
      </x:c>
    </x:row>
    <x:row r="458" ht="15" hidden="0" customHeight="1">
      <x:c r="A458" s="13" t="str">
        <x:v>eiXk71Maisw</x:v>
      </x:c>
      <x:c r="B458" s="13" t="str">
        <x:v>The Daily Ticker EP10: AAPL Earnings, NVDA Growth Potential</x:v>
      </x:c>
      <x:c r="C458" s="14" t="d">
        <x:v>2023-05-04T00:00:00.000Z</x:v>
      </x:c>
      <x:c r="D458" s="18" t="e">
        <x:f>HYPERLINK("https://www.youtube.com/watch?v=eiXk71Maisw","Watch video")</x:f>
        <x:v>HYPERLINK is not implemented. linkLocation=https://www.youtube.com/watch?v=eiXk71Maisw, friendlyName=Watch video</x:v>
      </x:c>
      <x:c r="E458" s="18" t="e">
        <x:f>HYPERLINK("transcripts/eiXk71Maisw.html","Complete transcript")</x:f>
        <x:v>HYPERLINK is not implemented. linkLocation=transcripts/eiXk71Maisw.html, friendlyName=Complete transcript</x:v>
      </x:c>
      <x:c r="F458" s="13" t="str">
        <x:v>GUEST_OR_INTERVIEW</x:v>
      </x:c>
      <x:c r="G458" s="17" t="str">
        <x:v>UNREVIEWED</x:v>
      </x:c>
      <x:c r="H458" s="17" t="str"/>
      <x:c r="I458" s="17" t="str"/>
      <x:c r="J458" s="17" t="str"/>
      <x:c r="K458" s="17" t="str"/>
      <x:c r="L458" s="17" t="str"/>
      <x:c r="M458" s="17" t="str">
        <x:v>PENDING WHOLE-VIDEO REVIEW</x:v>
      </x:c>
      <x:c r="N458" s="15" t="n">
        <x:v>830</x:v>
      </x:c>
      <x:c r="O458" s="15" t="n">
        <x:v>5629</x:v>
      </x:c>
      <x:c r="P458" s="15" t="n">
        <x:v>1783</x:v>
      </x:c>
      <x:c r="Q458" s="13" t="str">
        <x:v>NO_LARGE_TAIL_GAP</x:v>
      </x:c>
      <x:c r="R458" s="13" t="str"/>
      <x:c r="S458" s="16" t="n">
        <x:v>0</x:v>
      </x:c>
      <x:c r="T458" s="13" t="str">
        <x:v>bff728660d9a7ec54322105310922783074a0921515aa8c7040634c213689e21</x:v>
      </x:c>
    </x:row>
    <x:row r="459" ht="15" hidden="0" customHeight="1">
      <x:c r="A459" s="13" t="str">
        <x:v>eryupboqmTs</x:v>
      </x:c>
      <x:c r="B459" s="13" t="str">
        <x:v>Technical Analysis of Stock Trends | May 20 2020 Stocks for Breakfast</x:v>
      </x:c>
      <x:c r="C459" s="14" t="d">
        <x:v>2020-05-20T00:00:00.000Z</x:v>
      </x:c>
      <x:c r="D459" s="18" t="e">
        <x:f>HYPERLINK("https://www.youtube.com/watch?v=eryupboqmTs","Watch video")</x:f>
        <x:v>HYPERLINK is not implemented. linkLocation=https://www.youtube.com/watch?v=eryupboqmTs, friendlyName=Watch video</x:v>
      </x:c>
      <x:c r="E459" s="18" t="e">
        <x:f>HYPERLINK("transcripts/eryupboqmTs.html","Complete transcript")</x:f>
        <x:v>HYPERLINK is not implemented. linkLocation=transcripts/eryupboqmTs.html, friendlyName=Complete transcript</x:v>
      </x:c>
      <x:c r="F459" s="13" t="str">
        <x:v>PETE_EXPLICIT</x:v>
      </x:c>
      <x:c r="G459" s="17" t="str">
        <x:v>UNREVIEWED</x:v>
      </x:c>
      <x:c r="H459" s="17" t="str"/>
      <x:c r="I459" s="17" t="str"/>
      <x:c r="J459" s="17" t="str"/>
      <x:c r="K459" s="17" t="str"/>
      <x:c r="L459" s="17" t="str"/>
      <x:c r="M459" s="17" t="str">
        <x:v>PENDING WHOLE-VIDEO REVIEW</x:v>
      </x:c>
      <x:c r="N459" s="15" t="n">
        <x:v>713</x:v>
      </x:c>
      <x:c r="O459" s="15" t="n">
        <x:v>4447</x:v>
      </x:c>
      <x:c r="P459" s="15" t="n">
        <x:v>1295</x:v>
      </x:c>
      <x:c r="Q459" s="13" t="str">
        <x:v>NO_LARGE_TAIL_GAP</x:v>
      </x:c>
      <x:c r="R459" s="13" t="str"/>
      <x:c r="S459" s="16" t="n">
        <x:v>0</x:v>
      </x:c>
      <x:c r="T459" s="13" t="str">
        <x:v>a2d49146472bd452a671e1d2cb9cf4164c17e37733ca7428ac200d80a96561fc</x:v>
      </x:c>
    </x:row>
    <x:row r="460" ht="15" hidden="0" customHeight="1">
      <x:c r="A460" s="13" t="str">
        <x:v>etL7sjmKfgA</x:v>
      </x:c>
      <x:c r="B460" s="13" t="str">
        <x:v>Stock Charts | How to Work The Charts Like a Pro</x:v>
      </x:c>
      <x:c r="C460" s="14" t="d">
        <x:v>2020-06-03T00:00:00.000Z</x:v>
      </x:c>
      <x:c r="D460" s="18" t="e">
        <x:f>HYPERLINK("https://www.youtube.com/watch?v=etL7sjmKfgA","Watch video")</x:f>
        <x:v>HYPERLINK is not implemented. linkLocation=https://www.youtube.com/watch?v=etL7sjmKfgA, friendlyName=Watch video</x:v>
      </x:c>
      <x:c r="E460" s="18" t="e">
        <x:f>HYPERLINK("transcripts/etL7sjmKfgA.html","Complete transcript")</x:f>
        <x:v>HYPERLINK is not implemented. linkLocation=transcripts/etL7sjmKfgA.html, friendlyName=Complete transcript</x:v>
      </x:c>
      <x:c r="F460" s="13" t="str">
        <x:v>UNKNOWN_REQUIRES_REVIEW</x:v>
      </x:c>
      <x:c r="G460" s="17" t="str">
        <x:v>UNREVIEWED</x:v>
      </x:c>
      <x:c r="H460" s="17" t="str"/>
      <x:c r="I460" s="17" t="str"/>
      <x:c r="J460" s="17" t="str"/>
      <x:c r="K460" s="17" t="str"/>
      <x:c r="L460" s="17" t="str"/>
      <x:c r="M460" s="17" t="str">
        <x:v>PENDING WHOLE-VIDEO REVIEW</x:v>
      </x:c>
      <x:c r="N460" s="15" t="n">
        <x:v>451</x:v>
      </x:c>
      <x:c r="O460" s="15" t="n">
        <x:v>3268</x:v>
      </x:c>
      <x:c r="P460" s="15" t="n">
        <x:v>979</x:v>
      </x:c>
      <x:c r="Q460" s="13" t="str">
        <x:v>NO_LARGE_TAIL_GAP</x:v>
      </x:c>
      <x:c r="R460" s="13" t="str"/>
      <x:c r="S460" s="16" t="n">
        <x:v>0</x:v>
      </x:c>
      <x:c r="T460" s="13" t="str">
        <x:v>8de259e1e57d94c083cd405c133682e4e4c187e9aa54e7d6665532290a679f31</x:v>
      </x:c>
    </x:row>
    <x:row r="461" ht="15" hidden="0" customHeight="1">
      <x:c r="A461" s="13" t="str">
        <x:v>f-HJTO7o8gU</x:v>
      </x:c>
      <x:c r="B461" s="13" t="str">
        <x:v>Stocks for Breakfast | Order Flow Strategy</x:v>
      </x:c>
      <x:c r="C461" s="14" t="d">
        <x:v>2020-12-23T00:00:00.000Z</x:v>
      </x:c>
      <x:c r="D461" s="18" t="e">
        <x:f>HYPERLINK("https://www.youtube.com/watch?v=f-HJTO7o8gU","Watch video")</x:f>
        <x:v>HYPERLINK is not implemented. linkLocation=https://www.youtube.com/watch?v=f-HJTO7o8gU, friendlyName=Watch video</x:v>
      </x:c>
      <x:c r="E461" s="18" t="e">
        <x:f>HYPERLINK("transcripts/f-HJTO7o8gU.html","Complete transcript")</x:f>
        <x:v>HYPERLINK is not implemented. linkLocation=transcripts/f-HJTO7o8gU.html, friendlyName=Complete transcript</x:v>
      </x:c>
      <x:c r="F461" s="13" t="str">
        <x:v>UNKNOWN_REQUIRES_REVIEW</x:v>
      </x:c>
      <x:c r="G461" s="17" t="str">
        <x:v>UNREVIEWED</x:v>
      </x:c>
      <x:c r="H461" s="17" t="str"/>
      <x:c r="I461" s="17" t="str"/>
      <x:c r="J461" s="17" t="str"/>
      <x:c r="K461" s="17" t="str"/>
      <x:c r="L461" s="17" t="str"/>
      <x:c r="M461" s="17" t="str">
        <x:v>PENDING WHOLE-VIDEO REVIEW</x:v>
      </x:c>
      <x:c r="N461" s="15" t="n">
        <x:v>223</x:v>
      </x:c>
      <x:c r="O461" s="15" t="n">
        <x:v>1565</x:v>
      </x:c>
      <x:c r="P461" s="15" t="n">
        <x:v>513</x:v>
      </x:c>
      <x:c r="Q461" s="13" t="str">
        <x:v>NO_LARGE_TAIL_GAP</x:v>
      </x:c>
      <x:c r="R461" s="13" t="str"/>
      <x:c r="S461" s="16" t="n">
        <x:v>0</x:v>
      </x:c>
      <x:c r="T461" s="13" t="str">
        <x:v>d990729d65caa7d4c1cb1544b4b27d46eb53fd71ea756e5b03249af743a5efef</x:v>
      </x:c>
    </x:row>
    <x:row r="462" ht="15" hidden="0" customHeight="1">
      <x:c r="A462" s="13" t="str">
        <x:v>f3VyHrqXNA8</x:v>
      </x:c>
      <x:c r="B462" s="13" t="str">
        <x:v>IBM Earnings 4-20-20 | Best Stock Picks</x:v>
      </x:c>
      <x:c r="C462" s="14" t="d">
        <x:v>2020-04-18T00:00:00.000Z</x:v>
      </x:c>
      <x:c r="D462" s="18" t="e">
        <x:f>HYPERLINK("https://www.youtube.com/watch?v=f3VyHrqXNA8","Watch video")</x:f>
        <x:v>HYPERLINK is not implemented. linkLocation=https://www.youtube.com/watch?v=f3VyHrqXNA8, friendlyName=Watch video</x:v>
      </x:c>
      <x:c r="E462" s="18" t="e">
        <x:f>HYPERLINK("transcripts/f3VyHrqXNA8.html","Complete transcript")</x:f>
        <x:v>HYPERLINK is not implemented. linkLocation=transcripts/f3VyHrqXNA8.html, friendlyName=Complete transcript</x:v>
      </x:c>
      <x:c r="F462" s="13" t="str">
        <x:v>UNKNOWN_REQUIRES_REVIEW</x:v>
      </x:c>
      <x:c r="G462" s="17" t="str">
        <x:v>UNREVIEWED</x:v>
      </x:c>
      <x:c r="H462" s="17" t="str"/>
      <x:c r="I462" s="17" t="str"/>
      <x:c r="J462" s="17" t="str"/>
      <x:c r="K462" s="17" t="str"/>
      <x:c r="L462" s="17" t="str"/>
      <x:c r="M462" s="17" t="str">
        <x:v>PENDING WHOLE-VIDEO REVIEW</x:v>
      </x:c>
      <x:c r="N462" s="15" t="n">
        <x:v>787</x:v>
      </x:c>
      <x:c r="O462" s="15" t="n">
        <x:v>5719</x:v>
      </x:c>
      <x:c r="P462" s="15" t="n">
        <x:v>1667</x:v>
      </x:c>
      <x:c r="Q462" s="13" t="str">
        <x:v>NO_LARGE_TAIL_GAP</x:v>
      </x:c>
      <x:c r="R462" s="13" t="str"/>
      <x:c r="S462" s="16" t="n">
        <x:v>0</x:v>
      </x:c>
      <x:c r="T462" s="13" t="str">
        <x:v>dfde070d6f1d33f5481b3a94eadd388b9360e65aa24268bb08bd111f70aae451</x:v>
      </x:c>
    </x:row>
    <x:row r="463" ht="15" hidden="0" customHeight="1">
      <x:c r="A463" s="13" t="str">
        <x:v>f4LFJOJryUE</x:v>
      </x:c>
      <x:c r="B463" s="13" t="str">
        <x:v>Stock Trading Course for Beginners 2024</x:v>
      </x:c>
      <x:c r="C463" s="14" t="d">
        <x:v>2021-02-10T00:00:00.000Z</x:v>
      </x:c>
      <x:c r="D463" s="18" t="e">
        <x:f>HYPERLINK("https://www.youtube.com/watch?v=f4LFJOJryUE","Watch video")</x:f>
        <x:v>HYPERLINK is not implemented. linkLocation=https://www.youtube.com/watch?v=f4LFJOJryUE, friendlyName=Watch video</x:v>
      </x:c>
      <x:c r="E463" s="18" t="e">
        <x:f>HYPERLINK("transcripts/f4LFJOJryUE.html","Complete transcript")</x:f>
        <x:v>HYPERLINK is not implemented. linkLocation=transcripts/f4LFJOJryUE.html, friendlyName=Complete transcript</x:v>
      </x:c>
      <x:c r="F463" s="13" t="str">
        <x:v>PETE_EXPLICIT</x:v>
      </x:c>
      <x:c r="G463" s="17" t="str">
        <x:v>UNREVIEWED</x:v>
      </x:c>
      <x:c r="H463" s="17" t="str"/>
      <x:c r="I463" s="17" t="str"/>
      <x:c r="J463" s="17" t="str"/>
      <x:c r="K463" s="17" t="str"/>
      <x:c r="L463" s="17" t="str"/>
      <x:c r="M463" s="17" t="str">
        <x:v>PENDING WHOLE-VIDEO REVIEW</x:v>
      </x:c>
      <x:c r="N463" s="15" t="n">
        <x:v>791</x:v>
      </x:c>
      <x:c r="O463" s="15" t="n">
        <x:v>4869</x:v>
      </x:c>
      <x:c r="P463" s="15" t="n">
        <x:v>1393</x:v>
      </x:c>
      <x:c r="Q463" s="13" t="str">
        <x:v>NO_LARGE_TAIL_GAP</x:v>
      </x:c>
      <x:c r="R463" s="13" t="str"/>
      <x:c r="S463" s="16" t="n">
        <x:v>0</x:v>
      </x:c>
      <x:c r="T463" s="13" t="str">
        <x:v>02cb44457081fe27de2ae1fdb388d8a8d9e44aba26515fb0a0b5ce100be036da</x:v>
      </x:c>
    </x:row>
    <x:row r="464" ht="15" hidden="0" customHeight="1">
      <x:c r="A464" s="13" t="str">
        <x:v>fAGe9uh2zW4</x:v>
      </x:c>
      <x:c r="B464" s="13" t="str">
        <x:v>4: Trading Stocks: Risk Per Trade Formula</x:v>
      </x:c>
      <x:c r="C464" s="14" t="d">
        <x:v>2022-11-01T00:00:00.000Z</x:v>
      </x:c>
      <x:c r="D464" s="18" t="e">
        <x:f>HYPERLINK("https://www.youtube.com/watch?v=fAGe9uh2zW4","Watch video")</x:f>
        <x:v>HYPERLINK is not implemented. linkLocation=https://www.youtube.com/watch?v=fAGe9uh2zW4, friendlyName=Watch video</x:v>
      </x:c>
      <x:c r="E464" s="18" t="e">
        <x:f>HYPERLINK("transcripts/fAGe9uh2zW4.html","Complete transcript")</x:f>
        <x:v>HYPERLINK is not implemented. linkLocation=transcripts/fAGe9uh2zW4.html, friendlyName=Complete transcript</x:v>
      </x:c>
      <x:c r="F464" s="13" t="str">
        <x:v>UNKNOWN_REQUIRES_REVIEW</x:v>
      </x:c>
      <x:c r="G464" s="17" t="str">
        <x:v>UNREVIEWED</x:v>
      </x:c>
      <x:c r="H464" s="17" t="str"/>
      <x:c r="I464" s="17" t="str"/>
      <x:c r="J464" s="17" t="str"/>
      <x:c r="K464" s="17" t="str"/>
      <x:c r="L464" s="17" t="str"/>
      <x:c r="M464" s="17" t="str">
        <x:v>PENDING WHOLE-VIDEO REVIEW</x:v>
      </x:c>
      <x:c r="N464" s="15" t="n">
        <x:v>128</x:v>
      </x:c>
      <x:c r="O464" s="15" t="n">
        <x:v>886</x:v>
      </x:c>
      <x:c r="P464" s="15" t="n">
        <x:v>258</x:v>
      </x:c>
      <x:c r="Q464" s="13" t="str">
        <x:v>NO_LARGE_TAIL_GAP</x:v>
      </x:c>
      <x:c r="R464" s="13" t="str"/>
      <x:c r="S464" s="16" t="n">
        <x:v>0</x:v>
      </x:c>
      <x:c r="T464" s="13" t="str">
        <x:v>dc0612aea6989f715451ed58ca1b6d3f353044ef79a271ca9683e85a917b17a9</x:v>
      </x:c>
    </x:row>
    <x:row r="465" ht="15" hidden="0" customHeight="1">
      <x:c r="A465" s="13" t="str">
        <x:v>fDouRR7StGs</x:v>
      </x:c>
      <x:c r="B465" s="13" t="str">
        <x:v>How To Create A Trading Game Plan</x:v>
      </x:c>
      <x:c r="C465" s="14" t="d">
        <x:v>2020-06-10T00:00:00.000Z</x:v>
      </x:c>
      <x:c r="D465" s="18" t="e">
        <x:f>HYPERLINK("https://www.youtube.com/watch?v=fDouRR7StGs","Watch video")</x:f>
        <x:v>HYPERLINK is not implemented. linkLocation=https://www.youtube.com/watch?v=fDouRR7StGs, friendlyName=Watch video</x:v>
      </x:c>
      <x:c r="E465" s="18" t="e">
        <x:f>HYPERLINK("transcripts/fDouRR7StGs.html","Complete transcript")</x:f>
        <x:v>HYPERLINK is not implemented. linkLocation=transcripts/fDouRR7StGs.html, friendlyName=Complete transcript</x:v>
      </x:c>
      <x:c r="F465" s="13" t="str">
        <x:v>UNKNOWN_REQUIRES_REVIEW</x:v>
      </x:c>
      <x:c r="G465" s="17" t="str">
        <x:v>UNREVIEWED</x:v>
      </x:c>
      <x:c r="H465" s="17" t="str"/>
      <x:c r="I465" s="17" t="str"/>
      <x:c r="J465" s="17" t="str"/>
      <x:c r="K465" s="17" t="str"/>
      <x:c r="L465" s="17" t="str"/>
      <x:c r="M465" s="17" t="str">
        <x:v>PENDING WHOLE-VIDEO REVIEW</x:v>
      </x:c>
      <x:c r="N465" s="15" t="n">
        <x:v>463</x:v>
      </x:c>
      <x:c r="O465" s="15" t="n">
        <x:v>3310</x:v>
      </x:c>
      <x:c r="P465" s="15" t="n">
        <x:v>974</x:v>
      </x:c>
      <x:c r="Q465" s="13" t="str">
        <x:v>NO_LARGE_TAIL_GAP</x:v>
      </x:c>
      <x:c r="R465" s="13" t="str"/>
      <x:c r="S465" s="16" t="n">
        <x:v>0</x:v>
      </x:c>
      <x:c r="T465" s="13" t="str">
        <x:v>822772da35737fdbbb7cbe477d2515bbe64b9f9250ec3341c78417e089f1276a</x:v>
      </x:c>
    </x:row>
    <x:row r="466" ht="15" hidden="0" customHeight="1">
      <x:c r="A466" s="13" t="str">
        <x:v>fE0hTZg3iVI</x:v>
      </x:c>
      <x:c r="B466" s="13" t="str">
        <x:v>Candlestick Patterns Revealed: Read Order Flow Like a Pro</x:v>
      </x:c>
      <x:c r="C466" s="14" t="d">
        <x:v>2022-01-14T00:00:00.000Z</x:v>
      </x:c>
      <x:c r="D466" s="18" t="e">
        <x:f>HYPERLINK("https://www.youtube.com/watch?v=fE0hTZg3iVI","Watch video")</x:f>
        <x:v>HYPERLINK is not implemented. linkLocation=https://www.youtube.com/watch?v=fE0hTZg3iVI, friendlyName=Watch video</x:v>
      </x:c>
      <x:c r="E466" s="18" t="e">
        <x:f>HYPERLINK("transcripts/fE0hTZg3iVI.html","Complete transcript")</x:f>
        <x:v>HYPERLINK is not implemented. linkLocation=transcripts/fE0hTZg3iVI.html, friendlyName=Complete transcript</x:v>
      </x:c>
      <x:c r="F466" s="13" t="str">
        <x:v>PETE_EXPLICIT</x:v>
      </x:c>
      <x:c r="G466" s="17" t="str">
        <x:v>UNREVIEWED</x:v>
      </x:c>
      <x:c r="H466" s="17" t="str"/>
      <x:c r="I466" s="17" t="str"/>
      <x:c r="J466" s="17" t="str"/>
      <x:c r="K466" s="17" t="str"/>
      <x:c r="L466" s="17" t="str"/>
      <x:c r="M466" s="17" t="str">
        <x:v>PENDING WHOLE-VIDEO REVIEW</x:v>
      </x:c>
      <x:c r="N466" s="15" t="n">
        <x:v>916</x:v>
      </x:c>
      <x:c r="O466" s="15" t="n">
        <x:v>5223</x:v>
      </x:c>
      <x:c r="P466" s="15" t="n">
        <x:v>2024</x:v>
      </x:c>
      <x:c r="Q466" s="13" t="str">
        <x:v>NO_LARGE_TAIL_GAP</x:v>
      </x:c>
      <x:c r="R466" s="13" t="str"/>
      <x:c r="S466" s="16" t="n">
        <x:v>0</x:v>
      </x:c>
      <x:c r="T466" s="13" t="str">
        <x:v>1dbee29035de2bb18d612a384e2cb396d0a8adf3702a2cd87d834a60e0d8a3e3</x:v>
      </x:c>
    </x:row>
    <x:row r="467" ht="15" hidden="0" customHeight="1">
      <x:c r="A467" s="13" t="str">
        <x:v>fLZdyUTbDo8</x:v>
      </x:c>
      <x:c r="B467" s="13" t="str">
        <x:v>Stock Trading Recap 9 24 15</x:v>
      </x:c>
      <x:c r="C467" s="14" t="d">
        <x:v>2015-09-24T00:00:00.000Z</x:v>
      </x:c>
      <x:c r="D467" s="18" t="e">
        <x:f>HYPERLINK("https://www.youtube.com/watch?v=fLZdyUTbDo8","Watch video")</x:f>
        <x:v>HYPERLINK is not implemented. linkLocation=https://www.youtube.com/watch?v=fLZdyUTbDo8, friendlyName=Watch video</x:v>
      </x:c>
      <x:c r="E467" s="18" t="e">
        <x:f>HYPERLINK("transcripts/fLZdyUTbDo8.html","Complete transcript")</x:f>
        <x:v>HYPERLINK is not implemented. linkLocation=transcripts/fLZdyUTbDo8.html, friendlyName=Complete transcript</x:v>
      </x:c>
      <x:c r="F467" s="13" t="str">
        <x:v>UNKNOWN_REQUIRES_REVIEW</x:v>
      </x:c>
      <x:c r="G467" s="17" t="str">
        <x:v>UNREVIEWED</x:v>
      </x:c>
      <x:c r="H467" s="17" t="str"/>
      <x:c r="I467" s="17" t="str"/>
      <x:c r="J467" s="17" t="str"/>
      <x:c r="K467" s="17" t="str"/>
      <x:c r="L467" s="17" t="str"/>
      <x:c r="M467" s="17" t="str">
        <x:v>PENDING WHOLE-VIDEO REVIEW</x:v>
      </x:c>
      <x:c r="N467" s="15" t="n">
        <x:v>504</x:v>
      </x:c>
      <x:c r="O467" s="15" t="n">
        <x:v>3856</x:v>
      </x:c>
      <x:c r="P467" s="15" t="n">
        <x:v>1142</x:v>
      </x:c>
      <x:c r="Q467" s="13" t="str">
        <x:v>NO_LARGE_TAIL_GAP</x:v>
      </x:c>
      <x:c r="R467" s="13" t="str"/>
      <x:c r="S467" s="16" t="n">
        <x:v>0</x:v>
      </x:c>
      <x:c r="T467" s="13" t="str">
        <x:v>f3158ef3b50e3fddf82e8d79d478122e9a25da3c5ba3027a4804305986278331</x:v>
      </x:c>
    </x:row>
    <x:row r="468" ht="15" hidden="0" customHeight="1">
      <x:c r="A468" s="13" t="str">
        <x:v>fYVx0aO6SbA</x:v>
      </x:c>
      <x:c r="B468" s="13" t="str">
        <x:v>Electric Vehicle Stocks 2021 | Buy or Sell?</x:v>
      </x:c>
      <x:c r="C468" s="14" t="d">
        <x:v>2021-08-12T00:00:00.000Z</x:v>
      </x:c>
      <x:c r="D468" s="18" t="e">
        <x:f>HYPERLINK("https://www.youtube.com/watch?v=fYVx0aO6SbA","Watch video")</x:f>
        <x:v>HYPERLINK is not implemented. linkLocation=https://www.youtube.com/watch?v=fYVx0aO6SbA, friendlyName=Watch video</x:v>
      </x:c>
      <x:c r="E468" s="18" t="e">
        <x:f>HYPERLINK("transcripts/fYVx0aO6SbA.html","Complete transcript")</x:f>
        <x:v>HYPERLINK is not implemented. linkLocation=transcripts/fYVx0aO6SbA.html, friendlyName=Complete transcript</x:v>
      </x:c>
      <x:c r="F468" s="13" t="str">
        <x:v>PETE_EXPLICIT</x:v>
      </x:c>
      <x:c r="G468" s="17" t="str">
        <x:v>UNREVIEWED</x:v>
      </x:c>
      <x:c r="H468" s="17" t="str"/>
      <x:c r="I468" s="17" t="str"/>
      <x:c r="J468" s="17" t="str"/>
      <x:c r="K468" s="17" t="str"/>
      <x:c r="L468" s="17" t="str"/>
      <x:c r="M468" s="17" t="str">
        <x:v>PENDING WHOLE-VIDEO REVIEW</x:v>
      </x:c>
      <x:c r="N468" s="15" t="n">
        <x:v>592</x:v>
      </x:c>
      <x:c r="O468" s="15" t="n">
        <x:v>4031</x:v>
      </x:c>
      <x:c r="P468" s="15" t="n">
        <x:v>1186</x:v>
      </x:c>
      <x:c r="Q468" s="13" t="str">
        <x:v>NO_LARGE_TAIL_GAP</x:v>
      </x:c>
      <x:c r="R468" s="13" t="str"/>
      <x:c r="S468" s="16" t="n">
        <x:v>0</x:v>
      </x:c>
      <x:c r="T468" s="13" t="str">
        <x:v>a55549dde59ba4587e840e32d85564d6f6884feae6cb95db04c26981962b6cb7</x:v>
      </x:c>
    </x:row>
    <x:row r="469" ht="15" hidden="0" customHeight="1">
      <x:c r="A469" s="13" t="str">
        <x:v>fYfSifV2c8I</x:v>
      </x:c>
      <x:c r="B469" s="13" t="str">
        <x:v>Stock Trading Setups 5-5-20 | Stocks for Breakfast</x:v>
      </x:c>
      <x:c r="C469" s="14" t="d">
        <x:v>2020-05-05T00:00:00.000Z</x:v>
      </x:c>
      <x:c r="D469" s="18" t="e">
        <x:f>HYPERLINK("https://www.youtube.com/watch?v=fYfSifV2c8I","Watch video")</x:f>
        <x:v>HYPERLINK is not implemented. linkLocation=https://www.youtube.com/watch?v=fYfSifV2c8I, friendlyName=Watch video</x:v>
      </x:c>
      <x:c r="E469" s="18" t="e">
        <x:f>HYPERLINK("transcripts/fYfSifV2c8I.html","Complete transcript")</x:f>
        <x:v>HYPERLINK is not implemented. linkLocation=transcripts/fYfSifV2c8I.html, friendlyName=Complete transcript</x:v>
      </x:c>
      <x:c r="F469" s="13" t="str">
        <x:v>PETE_EXPLICIT</x:v>
      </x:c>
      <x:c r="G469" s="17" t="str">
        <x:v>UNREVIEWED</x:v>
      </x:c>
      <x:c r="H469" s="17" t="str"/>
      <x:c r="I469" s="17" t="str"/>
      <x:c r="J469" s="17" t="str"/>
      <x:c r="K469" s="17" t="str"/>
      <x:c r="L469" s="17" t="str"/>
      <x:c r="M469" s="17" t="str">
        <x:v>PENDING WHOLE-VIDEO REVIEW</x:v>
      </x:c>
      <x:c r="N469" s="15" t="n">
        <x:v>333</x:v>
      </x:c>
      <x:c r="O469" s="15" t="n">
        <x:v>2380</x:v>
      </x:c>
      <x:c r="P469" s="15" t="n">
        <x:v>753</x:v>
      </x:c>
      <x:c r="Q469" s="13" t="str">
        <x:v>NO_LARGE_TAIL_GAP</x:v>
      </x:c>
      <x:c r="R469" s="13" t="str"/>
      <x:c r="S469" s="16" t="n">
        <x:v>0</x:v>
      </x:c>
      <x:c r="T469" s="13" t="str">
        <x:v>9481437bab40f2ef6eb569f0625144b51df9cc9717f2ebf706f56632f3b28185</x:v>
      </x:c>
    </x:row>
    <x:row r="470" ht="15" hidden="0" customHeight="1">
      <x:c r="A470" s="13" t="str">
        <x:v>fcQCGKEPQzc</x:v>
      </x:c>
      <x:c r="B470" s="13" t="str">
        <x:v>Order Types | Stocks for Breakfast</x:v>
      </x:c>
      <x:c r="C470" s="14" t="d">
        <x:v>2020-12-10T00:00:00.000Z</x:v>
      </x:c>
      <x:c r="D470" s="18" t="e">
        <x:f>HYPERLINK("https://www.youtube.com/watch?v=fcQCGKEPQzc","Watch video")</x:f>
        <x:v>HYPERLINK is not implemented. linkLocation=https://www.youtube.com/watch?v=fcQCGKEPQzc, friendlyName=Watch video</x:v>
      </x:c>
      <x:c r="E470" s="18" t="e">
        <x:f>HYPERLINK("transcripts/fcQCGKEPQzc.html","Complete transcript")</x:f>
        <x:v>HYPERLINK is not implemented. linkLocation=transcripts/fcQCGKEPQzc.html, friendlyName=Complete transcript</x:v>
      </x:c>
      <x:c r="F470" s="13" t="str">
        <x:v>PETE_EXPLICIT</x:v>
      </x:c>
      <x:c r="G470" s="17" t="str">
        <x:v>UNREVIEWED</x:v>
      </x:c>
      <x:c r="H470" s="17" t="str"/>
      <x:c r="I470" s="17" t="str"/>
      <x:c r="J470" s="17" t="str"/>
      <x:c r="K470" s="17" t="str"/>
      <x:c r="L470" s="17" t="str"/>
      <x:c r="M470" s="17" t="str">
        <x:v>PENDING WHOLE-VIDEO REVIEW</x:v>
      </x:c>
      <x:c r="N470" s="15" t="n">
        <x:v>148</x:v>
      </x:c>
      <x:c r="O470" s="15" t="n">
        <x:v>1127</x:v>
      </x:c>
      <x:c r="P470" s="15" t="n">
        <x:v>322</x:v>
      </x:c>
      <x:c r="Q470" s="13" t="str">
        <x:v>NO_LARGE_TAIL_GAP</x:v>
      </x:c>
      <x:c r="R470" s="13" t="str"/>
      <x:c r="S470" s="16" t="n">
        <x:v>0</x:v>
      </x:c>
      <x:c r="T470" s="13" t="str">
        <x:v>4eb06440daf8e5f889c4c95e728596705371a1e268e2cc35aa92e84c495db124</x:v>
      </x:c>
    </x:row>
    <x:row r="471" ht="15" hidden="0" customHeight="1">
      <x:c r="A471" s="13" t="str">
        <x:v>fkYrecta_Ik</x:v>
      </x:c>
      <x:c r="B471" s="13" t="str">
        <x:v>Boost Your Day Trading Profits with NYSE TICK Readings</x:v>
      </x:c>
      <x:c r="C471" s="14" t="d">
        <x:v>2020-12-03T00:00:00.000Z</x:v>
      </x:c>
      <x:c r="D471" s="18" t="e">
        <x:f>HYPERLINK("https://www.youtube.com/watch?v=fkYrecta_Ik","Watch video")</x:f>
        <x:v>HYPERLINK is not implemented. linkLocation=https://www.youtube.com/watch?v=fkYrecta_Ik, friendlyName=Watch video</x:v>
      </x:c>
      <x:c r="E471" s="18" t="e">
        <x:f>HYPERLINK("transcripts/fkYrecta_Ik.html","Complete transcript")</x:f>
        <x:v>HYPERLINK is not implemented. linkLocation=transcripts/fkYrecta_Ik.html, friendlyName=Complete transcript</x:v>
      </x:c>
      <x:c r="F471" s="13" t="str">
        <x:v>PETE_EXPLICIT</x:v>
      </x:c>
      <x:c r="G471" s="17" t="str">
        <x:v>UNREVIEWED</x:v>
      </x:c>
      <x:c r="H471" s="17" t="str"/>
      <x:c r="I471" s="17" t="str"/>
      <x:c r="J471" s="17" t="str"/>
      <x:c r="K471" s="17" t="str"/>
      <x:c r="L471" s="17" t="str"/>
      <x:c r="M471" s="17" t="str">
        <x:v>PENDING WHOLE-VIDEO REVIEW</x:v>
      </x:c>
      <x:c r="N471" s="15" t="n">
        <x:v>453</x:v>
      </x:c>
      <x:c r="O471" s="15" t="n">
        <x:v>2807</x:v>
      </x:c>
      <x:c r="P471" s="15" t="n">
        <x:v>776</x:v>
      </x:c>
      <x:c r="Q471" s="13" t="str">
        <x:v>NO_LARGE_TAIL_GAP</x:v>
      </x:c>
      <x:c r="R471" s="13" t="str"/>
      <x:c r="S471" s="16" t="n">
        <x:v>0</x:v>
      </x:c>
      <x:c r="T471" s="13" t="str">
        <x:v>ec46bcc8aab626eb8068985de935f0d50ebabb009746d5e60308f843479b66c4</x:v>
      </x:c>
    </x:row>
    <x:row r="472" ht="15" hidden="0" customHeight="1">
      <x:c r="A472" s="13" t="str">
        <x:v>fnIkbWVp_tI</x:v>
      </x:c>
      <x:c r="B472" s="13" t="str">
        <x:v>Best Stock Picks Today | DDD Soars 104% 1-8-21</x:v>
      </x:c>
      <x:c r="C472" s="14" t="d">
        <x:v>2021-01-08T00:00:00.000Z</x:v>
      </x:c>
      <x:c r="D472" s="18" t="e">
        <x:f>HYPERLINK("https://www.youtube.com/watch?v=fnIkbWVp_tI","Watch video")</x:f>
        <x:v>HYPERLINK is not implemented. linkLocation=https://www.youtube.com/watch?v=fnIkbWVp_tI, friendlyName=Watch video</x:v>
      </x:c>
      <x:c r="E472" s="18" t="e">
        <x:f>HYPERLINK("transcripts/fnIkbWVp_tI.html","Complete transcript")</x:f>
        <x:v>HYPERLINK is not implemented. linkLocation=transcripts/fnIkbWVp_tI.html, friendlyName=Complete transcript</x:v>
      </x:c>
      <x:c r="F472" s="13" t="str">
        <x:v>PETE_EXPLICIT</x:v>
      </x:c>
      <x:c r="G472" s="17" t="str">
        <x:v>UNREVIEWED</x:v>
      </x:c>
      <x:c r="H472" s="17" t="str"/>
      <x:c r="I472" s="17" t="str"/>
      <x:c r="J472" s="17" t="str"/>
      <x:c r="K472" s="17" t="str"/>
      <x:c r="L472" s="17" t="str"/>
      <x:c r="M472" s="17" t="str">
        <x:v>PENDING WHOLE-VIDEO REVIEW</x:v>
      </x:c>
      <x:c r="N472" s="15" t="n">
        <x:v>239</x:v>
      </x:c>
      <x:c r="O472" s="15" t="n">
        <x:v>3604</x:v>
      </x:c>
      <x:c r="P472" s="15" t="n">
        <x:v>1091</x:v>
      </x:c>
      <x:c r="Q472" s="13" t="str">
        <x:v>NO_LARGE_TAIL_GAP</x:v>
      </x:c>
      <x:c r="R472" s="13" t="str"/>
      <x:c r="S472" s="16" t="n">
        <x:v>0</x:v>
      </x:c>
      <x:c r="T472" s="13" t="str">
        <x:v>289947f7c340ba6aae97ee053cb055430de60b8b7809e99ee24e47ce8c953903</x:v>
      </x:c>
    </x:row>
    <x:row r="473" ht="15" hidden="0" customHeight="1">
      <x:c r="A473" s="13" t="str">
        <x:v>foYgR_QAkNc</x:v>
      </x:c>
      <x:c r="B473" s="13" t="str">
        <x:v>CRM Earnings COST Earnings 5-28-20 | Best Stock Picks Today</x:v>
      </x:c>
      <x:c r="C473" s="14" t="d">
        <x:v>2020-05-28T00:00:00.000Z</x:v>
      </x:c>
      <x:c r="D473" s="18" t="e">
        <x:f>HYPERLINK("https://www.youtube.com/watch?v=foYgR_QAkNc","Watch video")</x:f>
        <x:v>HYPERLINK is not implemented. linkLocation=https://www.youtube.com/watch?v=foYgR_QAkNc, friendlyName=Watch video</x:v>
      </x:c>
      <x:c r="E473" s="18" t="e">
        <x:f>HYPERLINK("transcripts/foYgR_QAkNc.html","Complete transcript")</x:f>
        <x:v>HYPERLINK is not implemented. linkLocation=transcripts/foYgR_QAkNc.html, friendlyName=Complete transcript</x:v>
      </x:c>
      <x:c r="F473" s="13" t="str">
        <x:v>PETE_EXPLICIT</x:v>
      </x:c>
      <x:c r="G473" s="17" t="str">
        <x:v>UNREVIEWED</x:v>
      </x:c>
      <x:c r="H473" s="17" t="str"/>
      <x:c r="I473" s="17" t="str"/>
      <x:c r="J473" s="17" t="str"/>
      <x:c r="K473" s="17" t="str"/>
      <x:c r="L473" s="17" t="str"/>
      <x:c r="M473" s="17" t="str">
        <x:v>PENDING WHOLE-VIDEO REVIEW</x:v>
      </x:c>
      <x:c r="N473" s="15" t="n">
        <x:v>277</x:v>
      </x:c>
      <x:c r="O473" s="15" t="n">
        <x:v>2047</x:v>
      </x:c>
      <x:c r="P473" s="15" t="n">
        <x:v>599</x:v>
      </x:c>
      <x:c r="Q473" s="13" t="str">
        <x:v>NO_LARGE_TAIL_GAP</x:v>
      </x:c>
      <x:c r="R473" s="13" t="str"/>
      <x:c r="S473" s="16" t="n">
        <x:v>0</x:v>
      </x:c>
      <x:c r="T473" s="13" t="str">
        <x:v>ca8ec07ebbeb24a89e4e558c182db81310b0b28192765e2eef83951ebf6c221c</x:v>
      </x:c>
    </x:row>
    <x:row r="474" ht="15" hidden="0" customHeight="1">
      <x:c r="A474" s="13" t="str">
        <x:v>fprgfDXaVNY</x:v>
      </x:c>
      <x:c r="B474" s="13" t="str">
        <x:v>Tesla Plans 5 Billion Share Sale | Best Stock Picks Today 12-8-20</x:v>
      </x:c>
      <x:c r="C474" s="14" t="d">
        <x:v>2020-12-08T00:00:00.000Z</x:v>
      </x:c>
      <x:c r="D474" s="18" t="e">
        <x:f>HYPERLINK("https://www.youtube.com/watch?v=fprgfDXaVNY","Watch video")</x:f>
        <x:v>HYPERLINK is not implemented. linkLocation=https://www.youtube.com/watch?v=fprgfDXaVNY, friendlyName=Watch video</x:v>
      </x:c>
      <x:c r="E474" s="18" t="e">
        <x:f>HYPERLINK("transcripts/fprgfDXaVNY.html","Complete transcript")</x:f>
        <x:v>HYPERLINK is not implemented. linkLocation=transcripts/fprgfDXaVNY.html, friendlyName=Complete transcript</x:v>
      </x:c>
      <x:c r="F474" s="13" t="str">
        <x:v>PETE_EXPLICIT</x:v>
      </x:c>
      <x:c r="G474" s="17" t="str">
        <x:v>UNREVIEWED</x:v>
      </x:c>
      <x:c r="H474" s="17" t="str"/>
      <x:c r="I474" s="17" t="str"/>
      <x:c r="J474" s="17" t="str"/>
      <x:c r="K474" s="17" t="str"/>
      <x:c r="L474" s="17" t="str"/>
      <x:c r="M474" s="17" t="str">
        <x:v>PENDING WHOLE-VIDEO REVIEW</x:v>
      </x:c>
      <x:c r="N474" s="15" t="n">
        <x:v>538</x:v>
      </x:c>
      <x:c r="O474" s="15" t="n">
        <x:v>3398</x:v>
      </x:c>
      <x:c r="P474" s="15" t="n">
        <x:v>947</x:v>
      </x:c>
      <x:c r="Q474" s="13" t="str">
        <x:v>NO_LARGE_TAIL_GAP</x:v>
      </x:c>
      <x:c r="R474" s="13" t="str"/>
      <x:c r="S474" s="16" t="n">
        <x:v>0</x:v>
      </x:c>
      <x:c r="T474" s="13" t="str">
        <x:v>55105be526982543f606a9f27522c07378d838a1b748a17e2dc4109a66cb7b98</x:v>
      </x:c>
    </x:row>
    <x:row r="475" ht="15" hidden="0" customHeight="1">
      <x:c r="A475" s="13" t="str">
        <x:v>fqeCrqGRBMc</x:v>
      </x:c>
      <x:c r="B475" s="13" t="str">
        <x:v>Best Stock Picks Today | GS Goldman Sachs 11-11-20</x:v>
      </x:c>
      <x:c r="C475" s="14" t="d">
        <x:v>2020-11-11T00:00:00.000Z</x:v>
      </x:c>
      <x:c r="D475" s="18" t="e">
        <x:f>HYPERLINK("https://www.youtube.com/watch?v=fqeCrqGRBMc","Watch video")</x:f>
        <x:v>HYPERLINK is not implemented. linkLocation=https://www.youtube.com/watch?v=fqeCrqGRBMc, friendlyName=Watch video</x:v>
      </x:c>
      <x:c r="E475" s="18" t="e">
        <x:f>HYPERLINK("transcripts/fqeCrqGRBMc.html","Complete transcript")</x:f>
        <x:v>HYPERLINK is not implemented. linkLocation=transcripts/fqeCrqGRBMc.html, friendlyName=Complete transcript</x:v>
      </x:c>
      <x:c r="F475" s="13" t="str">
        <x:v>PETE_EXPLICIT</x:v>
      </x:c>
      <x:c r="G475" s="17" t="str">
        <x:v>UNREVIEWED</x:v>
      </x:c>
      <x:c r="H475" s="17" t="str"/>
      <x:c r="I475" s="17" t="str"/>
      <x:c r="J475" s="17" t="str"/>
      <x:c r="K475" s="17" t="str"/>
      <x:c r="L475" s="17" t="str"/>
      <x:c r="M475" s="17" t="str">
        <x:v>PENDING WHOLE-VIDEO REVIEW</x:v>
      </x:c>
      <x:c r="N475" s="15" t="n">
        <x:v>77</x:v>
      </x:c>
      <x:c r="O475" s="15" t="n">
        <x:v>2582</x:v>
      </x:c>
      <x:c r="P475" s="15" t="n">
        <x:v>677</x:v>
      </x:c>
      <x:c r="Q475" s="13" t="str">
        <x:v>NO_LARGE_TAIL_GAP</x:v>
      </x:c>
      <x:c r="R475" s="13" t="str"/>
      <x:c r="S475" s="16" t="n">
        <x:v>0</x:v>
      </x:c>
      <x:c r="T475" s="13" t="str">
        <x:v>fabf90c4427e5a540b45860a4604ea11ab294d04bfacfba3fc24d1e7fbb88649</x:v>
      </x:c>
    </x:row>
    <x:row r="476" ht="15" hidden="0" customHeight="1">
      <x:c r="A476" s="13" t="str">
        <x:v>fsd3ve0hoBM</x:v>
      </x:c>
      <x:c r="B476" s="13" t="str">
        <x:v>Unveiling the #1 Secret to Consistent Options Trading Profits</x:v>
      </x:c>
      <x:c r="C476" s="14" t="d">
        <x:v>2024-07-09T00:00:00.000Z</x:v>
      </x:c>
      <x:c r="D476" s="18" t="e">
        <x:f>HYPERLINK("https://www.youtube.com/watch?v=fsd3ve0hoBM","Watch video")</x:f>
        <x:v>HYPERLINK is not implemented. linkLocation=https://www.youtube.com/watch?v=fsd3ve0hoBM, friendlyName=Watch video</x:v>
      </x:c>
      <x:c r="E476" s="18" t="e">
        <x:f>HYPERLINK("transcripts/fsd3ve0hoBM.html","Complete transcript")</x:f>
        <x:v>HYPERLINK is not implemented. linkLocation=transcripts/fsd3ve0hoBM.html, friendlyName=Complete transcript</x:v>
      </x:c>
      <x:c r="F476" s="13" t="str">
        <x:v>UNKNOWN_REQUIRES_REVIEW</x:v>
      </x:c>
      <x:c r="G476" s="17" t="str">
        <x:v>UNREVIEWED</x:v>
      </x:c>
      <x:c r="H476" s="17" t="str"/>
      <x:c r="I476" s="17" t="str"/>
      <x:c r="J476" s="17" t="str"/>
      <x:c r="K476" s="17" t="str"/>
      <x:c r="L476" s="17" t="str"/>
      <x:c r="M476" s="17" t="str">
        <x:v>PENDING WHOLE-VIDEO REVIEW</x:v>
      </x:c>
      <x:c r="N476" s="15" t="n">
        <x:v>77</x:v>
      </x:c>
      <x:c r="O476" s="15" t="n">
        <x:v>558</x:v>
      </x:c>
      <x:c r="P476" s="15" t="n">
        <x:v>148</x:v>
      </x:c>
      <x:c r="Q476" s="13" t="str">
        <x:v>NO_LARGE_TAIL_GAP</x:v>
      </x:c>
      <x:c r="R476" s="13" t="str"/>
      <x:c r="S476" s="16" t="n">
        <x:v>0</x:v>
      </x:c>
      <x:c r="T476" s="13" t="str">
        <x:v>7e01d3cc0d440ca5a55e5fd7e6f664d8dc87a4914100e513737b67ca550258d9</x:v>
      </x:c>
    </x:row>
    <x:row r="477" ht="15" hidden="0" customHeight="1">
      <x:c r="A477" s="13" t="str">
        <x:v>g83p9_3ydsg</x:v>
      </x:c>
      <x:c r="B477" s="13" t="str">
        <x:v>Stocks To Watch: Stock Pick Broken Down</x:v>
      </x:c>
      <x:c r="C477" s="14" t="d">
        <x:v>2023-03-04T00:00:00.000Z</x:v>
      </x:c>
      <x:c r="D477" s="18" t="e">
        <x:f>HYPERLINK("https://www.youtube.com/watch?v=g83p9_3ydsg","Watch video")</x:f>
        <x:v>HYPERLINK is not implemented. linkLocation=https://www.youtube.com/watch?v=g83p9_3ydsg, friendlyName=Watch video</x:v>
      </x:c>
      <x:c r="E477" s="18" t="e">
        <x:f>HYPERLINK("transcripts/g83p9_3ydsg.html","Complete transcript")</x:f>
        <x:v>HYPERLINK is not implemented. linkLocation=transcripts/g83p9_3ydsg.html, friendlyName=Complete transcript</x:v>
      </x:c>
      <x:c r="F477" s="13" t="str">
        <x:v>UNKNOWN_REQUIRES_REVIEW</x:v>
      </x:c>
      <x:c r="G477" s="17" t="str">
        <x:v>UNREVIEWED</x:v>
      </x:c>
      <x:c r="H477" s="17" t="str"/>
      <x:c r="I477" s="17" t="str"/>
      <x:c r="J477" s="17" t="str"/>
      <x:c r="K477" s="17" t="str"/>
      <x:c r="L477" s="17" t="str"/>
      <x:c r="M477" s="17" t="str">
        <x:v>PENDING WHOLE-VIDEO REVIEW</x:v>
      </x:c>
      <x:c r="N477" s="15" t="n">
        <x:v>74</x:v>
      </x:c>
      <x:c r="O477" s="15" t="n">
        <x:v>539</x:v>
      </x:c>
      <x:c r="P477" s="15" t="n">
        <x:v>154</x:v>
      </x:c>
      <x:c r="Q477" s="13" t="str">
        <x:v>NO_LARGE_TAIL_GAP</x:v>
      </x:c>
      <x:c r="R477" s="13" t="str"/>
      <x:c r="S477" s="16" t="n">
        <x:v>0</x:v>
      </x:c>
      <x:c r="T477" s="13" t="str">
        <x:v>6a28cb4fbc0823fb202f70e434d761b28a3372891da21df6304bea89ab5c1eca</x:v>
      </x:c>
    </x:row>
    <x:row r="478" ht="15" hidden="0" customHeight="1">
      <x:c r="A478" s="13" t="str">
        <x:v>gFWO0G7bvo4</x:v>
      </x:c>
      <x:c r="B478" s="13" t="str">
        <x:v>How to Find the Hottest Stock Picks | Stocks for Breakfast</x:v>
      </x:c>
      <x:c r="C478" s="14" t="d">
        <x:v>2020-11-23T00:00:00.000Z</x:v>
      </x:c>
      <x:c r="D478" s="18" t="e">
        <x:f>HYPERLINK("https://www.youtube.com/watch?v=gFWO0G7bvo4","Watch video")</x:f>
        <x:v>HYPERLINK is not implemented. linkLocation=https://www.youtube.com/watch?v=gFWO0G7bvo4, friendlyName=Watch video</x:v>
      </x:c>
      <x:c r="E478" s="18" t="e">
        <x:f>HYPERLINK("transcripts/gFWO0G7bvo4.html","Complete transcript")</x:f>
        <x:v>HYPERLINK is not implemented. linkLocation=transcripts/gFWO0G7bvo4.html, friendlyName=Complete transcript</x:v>
      </x:c>
      <x:c r="F478" s="13" t="str">
        <x:v>PETE_EXPLICIT</x:v>
      </x:c>
      <x:c r="G478" s="17" t="str">
        <x:v>UNREVIEWED</x:v>
      </x:c>
      <x:c r="H478" s="17" t="str"/>
      <x:c r="I478" s="17" t="str"/>
      <x:c r="J478" s="17" t="str"/>
      <x:c r="K478" s="17" t="str"/>
      <x:c r="L478" s="17" t="str"/>
      <x:c r="M478" s="17" t="str">
        <x:v>PENDING WHOLE-VIDEO REVIEW</x:v>
      </x:c>
      <x:c r="N478" s="15" t="n">
        <x:v>445</x:v>
      </x:c>
      <x:c r="O478" s="15" t="n">
        <x:v>2811</x:v>
      </x:c>
      <x:c r="P478" s="15" t="n">
        <x:v>786</x:v>
      </x:c>
      <x:c r="Q478" s="13" t="str">
        <x:v>NO_LARGE_TAIL_GAP</x:v>
      </x:c>
      <x:c r="R478" s="13" t="str"/>
      <x:c r="S478" s="16" t="n">
        <x:v>0</x:v>
      </x:c>
      <x:c r="T478" s="13" t="str">
        <x:v>7551fd5cceecee48c37196124e79f3072722a5903bbe97c15cc62c669efa5e9b</x:v>
      </x:c>
    </x:row>
    <x:row r="479" ht="15" hidden="0" customHeight="1">
      <x:c r="A479" s="13" t="str">
        <x:v>gcnwHrAVZlk</x:v>
      </x:c>
      <x:c r="B479" s="13" t="str">
        <x:v>Best Stock Picks Today | PENN National Gaming 9-18-20</x:v>
      </x:c>
      <x:c r="C479" s="14" t="d">
        <x:v>2020-09-18T00:00:00.000Z</x:v>
      </x:c>
      <x:c r="D479" s="18" t="e">
        <x:f>HYPERLINK("https://www.youtube.com/watch?v=gcnwHrAVZlk","Watch video")</x:f>
        <x:v>HYPERLINK is not implemented. linkLocation=https://www.youtube.com/watch?v=gcnwHrAVZlk, friendlyName=Watch video</x:v>
      </x:c>
      <x:c r="E479" s="18" t="e">
        <x:f>HYPERLINK("transcripts/gcnwHrAVZlk.html","Complete transcript")</x:f>
        <x:v>HYPERLINK is not implemented. linkLocation=transcripts/gcnwHrAVZlk.html, friendlyName=Complete transcript</x:v>
      </x:c>
      <x:c r="F479" s="13" t="str">
        <x:v>PETE_EXPLICIT</x:v>
      </x:c>
      <x:c r="G479" s="17" t="str">
        <x:v>UNREVIEWED</x:v>
      </x:c>
      <x:c r="H479" s="17" t="str"/>
      <x:c r="I479" s="17" t="str"/>
      <x:c r="J479" s="17" t="str"/>
      <x:c r="K479" s="17" t="str"/>
      <x:c r="L479" s="17" t="str"/>
      <x:c r="M479" s="17" t="str">
        <x:v>PENDING WHOLE-VIDEO REVIEW</x:v>
      </x:c>
      <x:c r="N479" s="15" t="n">
        <x:v>483</x:v>
      </x:c>
      <x:c r="O479" s="15" t="n">
        <x:v>3043</x:v>
      </x:c>
      <x:c r="P479" s="15" t="n">
        <x:v>835</x:v>
      </x:c>
      <x:c r="Q479" s="13" t="str">
        <x:v>NO_LARGE_TAIL_GAP</x:v>
      </x:c>
      <x:c r="R479" s="13" t="str"/>
      <x:c r="S479" s="16" t="n">
        <x:v>0</x:v>
      </x:c>
      <x:c r="T479" s="13" t="str">
        <x:v>a73c8da8a4ad2519a702f4b763e0227661d10a012be7d54f886c648e8548b59c</x:v>
      </x:c>
    </x:row>
    <x:row r="480" ht="15" hidden="0" customHeight="1">
      <x:c r="A480" s="13" t="str">
        <x:v>gf6erZuOBQc</x:v>
      </x:c>
      <x:c r="B480" s="13" t="str">
        <x:v>FB Stock Trade Facebook | 8-7-20 Best Stock Picks Today</x:v>
      </x:c>
      <x:c r="C480" s="14" t="d">
        <x:v>2020-08-07T00:00:00.000Z</x:v>
      </x:c>
      <x:c r="D480" s="18" t="e">
        <x:f>HYPERLINK("https://www.youtube.com/watch?v=gf6erZuOBQc","Watch video")</x:f>
        <x:v>HYPERLINK is not implemented. linkLocation=https://www.youtube.com/watch?v=gf6erZuOBQc, friendlyName=Watch video</x:v>
      </x:c>
      <x:c r="E480" s="18" t="e">
        <x:f>HYPERLINK("transcripts/gf6erZuOBQc.html","Complete transcript")</x:f>
        <x:v>HYPERLINK is not implemented. linkLocation=transcripts/gf6erZuOBQc.html, friendlyName=Complete transcript</x:v>
      </x:c>
      <x:c r="F480" s="13" t="str">
        <x:v>PETE_EXPLICIT</x:v>
      </x:c>
      <x:c r="G480" s="17" t="str">
        <x:v>UNREVIEWED</x:v>
      </x:c>
      <x:c r="H480" s="17" t="str"/>
      <x:c r="I480" s="17" t="str"/>
      <x:c r="J480" s="17" t="str"/>
      <x:c r="K480" s="17" t="str"/>
      <x:c r="L480" s="17" t="str"/>
      <x:c r="M480" s="17" t="str">
        <x:v>PENDING WHOLE-VIDEO REVIEW</x:v>
      </x:c>
      <x:c r="N480" s="15" t="n">
        <x:v>390</x:v>
      </x:c>
      <x:c r="O480" s="15" t="n">
        <x:v>2452</x:v>
      </x:c>
      <x:c r="P480" s="15" t="n">
        <x:v>669</x:v>
      </x:c>
      <x:c r="Q480" s="13" t="str">
        <x:v>NO_LARGE_TAIL_GAP</x:v>
      </x:c>
      <x:c r="R480" s="13" t="str"/>
      <x:c r="S480" s="16" t="n">
        <x:v>0</x:v>
      </x:c>
      <x:c r="T480" s="13" t="str">
        <x:v>e5f9f3526d89d2727fe73a43bb05f7c77a3b3ea33baaaf586f91307045464789</x:v>
      </x:c>
    </x:row>
    <x:row r="481" ht="15" hidden="0" customHeight="1">
      <x:c r="A481" s="13" t="str">
        <x:v>ghmU_a6kv6w</x:v>
      </x:c>
      <x:c r="B481" s="13" t="str">
        <x:v>BABA Stock Trade | 7-9-20 Best Stock Picks Today</x:v>
      </x:c>
      <x:c r="C481" s="14" t="d">
        <x:v>2020-07-09T00:00:00.000Z</x:v>
      </x:c>
      <x:c r="D481" s="18" t="e">
        <x:f>HYPERLINK("https://www.youtube.com/watch?v=ghmU_a6kv6w","Watch video")</x:f>
        <x:v>HYPERLINK is not implemented. linkLocation=https://www.youtube.com/watch?v=ghmU_a6kv6w, friendlyName=Watch video</x:v>
      </x:c>
      <x:c r="E481" s="18" t="e">
        <x:f>HYPERLINK("transcripts/ghmU_a6kv6w.html","Complete transcript")</x:f>
        <x:v>HYPERLINK is not implemented. linkLocation=transcripts/ghmU_a6kv6w.html, friendlyName=Complete transcript</x:v>
      </x:c>
      <x:c r="F481" s="13" t="str">
        <x:v>UNKNOWN_REQUIRES_REVIEW</x:v>
      </x:c>
      <x:c r="G481" s="17" t="str">
        <x:v>UNREVIEWED</x:v>
      </x:c>
      <x:c r="H481" s="17" t="str"/>
      <x:c r="I481" s="17" t="str"/>
      <x:c r="J481" s="17" t="str"/>
      <x:c r="K481" s="17" t="str"/>
      <x:c r="L481" s="17" t="str"/>
      <x:c r="M481" s="17" t="str">
        <x:v>PENDING WHOLE-VIDEO REVIEW</x:v>
      </x:c>
      <x:c r="N481" s="15" t="n">
        <x:v>396</x:v>
      </x:c>
      <x:c r="O481" s="15" t="n">
        <x:v>2862</x:v>
      </x:c>
      <x:c r="P481" s="15" t="n">
        <x:v>784</x:v>
      </x:c>
      <x:c r="Q481" s="13" t="str">
        <x:v>NO_LARGE_TAIL_GAP</x:v>
      </x:c>
      <x:c r="R481" s="13" t="str"/>
      <x:c r="S481" s="16" t="n">
        <x:v>0</x:v>
      </x:c>
      <x:c r="T481" s="13" t="str">
        <x:v>b6f716cf804a4bea8c6092d0ec1d4dcc5d4fed3190d8ebdb6aab6c883a0223ef</x:v>
      </x:c>
    </x:row>
    <x:row r="482" ht="15" hidden="0" customHeight="1">
      <x:c r="A482" s="13" t="str">
        <x:v>gj8Hdp72ZMs</x:v>
      </x:c>
      <x:c r="B482" s="13" t="str">
        <x:v>OPEC Production Deal 4-13-20 | Stocks for Breakfast</x:v>
      </x:c>
      <x:c r="C482" s="14" t="d">
        <x:v>2020-04-13T00:00:00.000Z</x:v>
      </x:c>
      <x:c r="D482" s="18" t="e">
        <x:f>HYPERLINK("https://www.youtube.com/watch?v=gj8Hdp72ZMs","Watch video")</x:f>
        <x:v>HYPERLINK is not implemented. linkLocation=https://www.youtube.com/watch?v=gj8Hdp72ZMs, friendlyName=Watch video</x:v>
      </x:c>
      <x:c r="E482" s="18" t="e">
        <x:f>HYPERLINK("transcripts/gj8Hdp72ZMs.html","Complete transcript")</x:f>
        <x:v>HYPERLINK is not implemented. linkLocation=transcripts/gj8Hdp72ZMs.html, friendlyName=Complete transcript</x:v>
      </x:c>
      <x:c r="F482" s="13" t="str">
        <x:v>PETE_EXPLICIT</x:v>
      </x:c>
      <x:c r="G482" s="17" t="str">
        <x:v>UNREVIEWED</x:v>
      </x:c>
      <x:c r="H482" s="17" t="str"/>
      <x:c r="I482" s="17" t="str"/>
      <x:c r="J482" s="17" t="str"/>
      <x:c r="K482" s="17" t="str"/>
      <x:c r="L482" s="17" t="str"/>
      <x:c r="M482" s="17" t="str">
        <x:v>PENDING WHOLE-VIDEO REVIEW</x:v>
      </x:c>
      <x:c r="N482" s="15" t="n">
        <x:v>674</x:v>
      </x:c>
      <x:c r="O482" s="15" t="n">
        <x:v>4885</x:v>
      </x:c>
      <x:c r="P482" s="15" t="n">
        <x:v>1405</x:v>
      </x:c>
      <x:c r="Q482" s="13" t="str">
        <x:v>NO_LARGE_TAIL_GAP</x:v>
      </x:c>
      <x:c r="R482" s="13" t="str"/>
      <x:c r="S482" s="16" t="n">
        <x:v>0</x:v>
      </x:c>
      <x:c r="T482" s="13" t="str">
        <x:v>80a368afce8f2597100d3e44f809f327402b3b5af5f58d9ae672c56b31aa9459</x:v>
      </x:c>
    </x:row>
    <x:row r="483" ht="15" hidden="0" customHeight="1">
      <x:c r="A483" s="13" t="str">
        <x:v>gqTIcA4kMQw</x:v>
      </x:c>
      <x:c r="B483" s="13" t="str">
        <x:v>Swing Traders are About to Lose All of Their Money</x:v>
      </x:c>
      <x:c r="C483" s="14" t="d">
        <x:v>2015-04-24T00:00:00.000Z</x:v>
      </x:c>
      <x:c r="D483" s="18" t="e">
        <x:f>HYPERLINK("https://www.youtube.com/watch?v=gqTIcA4kMQw","Watch video")</x:f>
        <x:v>HYPERLINK is not implemented. linkLocation=https://www.youtube.com/watch?v=gqTIcA4kMQw, friendlyName=Watch video</x:v>
      </x:c>
      <x:c r="E483" s="18" t="e">
        <x:f>HYPERLINK("transcripts/gqTIcA4kMQw.html","Complete transcript")</x:f>
        <x:v>HYPERLINK is not implemented. linkLocation=transcripts/gqTIcA4kMQw.html, friendlyName=Complete transcript</x:v>
      </x:c>
      <x:c r="F483" s="13" t="str">
        <x:v>UNKNOWN_REQUIRES_REVIEW</x:v>
      </x:c>
      <x:c r="G483" s="17" t="str">
        <x:v>UNREVIEWED</x:v>
      </x:c>
      <x:c r="H483" s="17" t="str"/>
      <x:c r="I483" s="17" t="str"/>
      <x:c r="J483" s="17" t="str"/>
      <x:c r="K483" s="17" t="str"/>
      <x:c r="L483" s="17" t="str"/>
      <x:c r="M483" s="17" t="str">
        <x:v>PENDING WHOLE-VIDEO REVIEW</x:v>
      </x:c>
      <x:c r="N483" s="15" t="n">
        <x:v>243</x:v>
      </x:c>
      <x:c r="O483" s="15" t="n">
        <x:v>1745</x:v>
      </x:c>
      <x:c r="P483" s="15" t="n">
        <x:v>614</x:v>
      </x:c>
      <x:c r="Q483" s="13" t="str">
        <x:v>NO_LARGE_TAIL_GAP</x:v>
      </x:c>
      <x:c r="R483" s="13" t="str"/>
      <x:c r="S483" s="16" t="n">
        <x:v>0</x:v>
      </x:c>
      <x:c r="T483" s="13" t="str">
        <x:v>f2fbf60db92b6a286d8248613c726971b26af29003d43bfea0eef47138898b9e</x:v>
      </x:c>
    </x:row>
    <x:row r="484" ht="24" hidden="0" customHeight="1">
      <x:c r="A484" s="13" t="str">
        <x:v>gqW4fZnpM88</x:v>
      </x:c>
      <x:c r="B484" s="13" t="str">
        <x:v>10: Industry Groups: Stocks With Similar Businesses</x:v>
      </x:c>
      <x:c r="C484" s="14" t="d">
        <x:v>2022-11-01T00:00:00.000Z</x:v>
      </x:c>
      <x:c r="D484" s="18" t="e">
        <x:f>HYPERLINK("https://www.youtube.com/watch?v=gqW4fZnpM88","Watch video")</x:f>
        <x:v>HYPERLINK is not implemented. linkLocation=https://www.youtube.com/watch?v=gqW4fZnpM88, friendlyName=Watch video</x:v>
      </x:c>
      <x:c r="E484" s="18" t="e">
        <x:f>HYPERLINK("transcripts/gqW4fZnpM88.html","Complete transcript")</x:f>
        <x:v>HYPERLINK is not implemented. linkLocation=transcripts/gqW4fZnpM88.html, friendlyName=Complete transcript</x:v>
      </x:c>
      <x:c r="F484" s="13" t="str">
        <x:v>UNKNOWN_REQUIRES_REVIEW</x:v>
      </x:c>
      <x:c r="G484" s="17" t="str">
        <x:v>Structured lesson excerpt</x:v>
      </x:c>
      <x:c r="H484" s="17" t="str">
        <x:v>Sector-to-industry stock filtering</x:v>
      </x:c>
      <x:c r="I484" s="17" t="str">
        <x:v>Shows narrowing a sector universe by average volume and volatility, then comparing performance to select stronger stocks.</x:v>
      </x:c>
      <x:c r="J484" s="17" t="str">
        <x:v>Stock selection; sectors and industries; ATR and volume</x:v>
      </x:c>
      <x:c r="K484" s="17" t="str">
        <x:v>Two-million-share average-volume threshold is a stated personal filter; one-month performance is the demonstration period.</x:v>
      </x:c>
      <x:c r="L484" s="17" t="str">
        <x:v>ATR threshold is not specified; transcript gloss of ATR must not replace a precise definition.</x:v>
      </x:c>
      <x:c r="M484" s="17" t="str">
        <x:v>WHOLE TRANSCRIPT READ — visuals pending</x:v>
      </x:c>
      <x:c r="N484" s="15" t="n">
        <x:v>40</x:v>
      </x:c>
      <x:c r="O484" s="15" t="n">
        <x:v>267</x:v>
      </x:c>
      <x:c r="P484" s="15" t="n">
        <x:v>84</x:v>
      </x:c>
      <x:c r="Q484" s="13" t="str">
        <x:v>NO_LARGE_TAIL_GAP</x:v>
      </x:c>
      <x:c r="R484" s="13" t="str"/>
      <x:c r="S484" s="16" t="n">
        <x:v>3</x:v>
      </x:c>
      <x:c r="T484" s="13" t="str">
        <x:v>1414b7763663bf56f6c7cdd62641b51e91bb3527a88774d105f4b6cd957f49ba</x:v>
      </x:c>
    </x:row>
    <x:row r="485" ht="15" hidden="0" customHeight="1">
      <x:c r="A485" s="13" t="str">
        <x:v>grT4KDhG29g</x:v>
      </x:c>
      <x:c r="B485" s="13" t="str">
        <x:v>When Trading Becomes Easier</x:v>
      </x:c>
      <x:c r="C485" s="14" t="d">
        <x:v>2020-07-06T00:00:00.000Z</x:v>
      </x:c>
      <x:c r="D485" s="18" t="e">
        <x:f>HYPERLINK("https://www.youtube.com/watch?v=grT4KDhG29g","Watch video")</x:f>
        <x:v>HYPERLINK is not implemented. linkLocation=https://www.youtube.com/watch?v=grT4KDhG29g, friendlyName=Watch video</x:v>
      </x:c>
      <x:c r="E485" s="18" t="e">
        <x:f>HYPERLINK("transcripts/grT4KDhG29g.html","Complete transcript")</x:f>
        <x:v>HYPERLINK is not implemented. linkLocation=transcripts/grT4KDhG29g.html, friendlyName=Complete transcript</x:v>
      </x:c>
      <x:c r="F485" s="13" t="str">
        <x:v>UNKNOWN_REQUIRES_REVIEW</x:v>
      </x:c>
      <x:c r="G485" s="17" t="str">
        <x:v>UNREVIEWED</x:v>
      </x:c>
      <x:c r="H485" s="17" t="str"/>
      <x:c r="I485" s="17" t="str"/>
      <x:c r="J485" s="17" t="str"/>
      <x:c r="K485" s="17" t="str"/>
      <x:c r="L485" s="17" t="str"/>
      <x:c r="M485" s="17" t="str">
        <x:v>PENDING WHOLE-VIDEO REVIEW</x:v>
      </x:c>
      <x:c r="N485" s="15" t="n">
        <x:v>463</x:v>
      </x:c>
      <x:c r="O485" s="15" t="n">
        <x:v>3344</x:v>
      </x:c>
      <x:c r="P485" s="15" t="n">
        <x:v>994</x:v>
      </x:c>
      <x:c r="Q485" s="13" t="str">
        <x:v>NO_LARGE_TAIL_GAP</x:v>
      </x:c>
      <x:c r="R485" s="13" t="str"/>
      <x:c r="S485" s="16" t="n">
        <x:v>0</x:v>
      </x:c>
      <x:c r="T485" s="13" t="str">
        <x:v>daf8245b648b3c673a5415558270512b5439a4daf835297a32ba89732568d6fb</x:v>
      </x:c>
    </x:row>
    <x:row r="486" ht="15" hidden="0" customHeight="1">
      <x:c r="A486" s="13" t="str">
        <x:v>h-ay4_i4lgs</x:v>
      </x:c>
      <x:c r="B486" s="13" t="str">
        <x:v>Tech Stocks Show Relative Strength 6-10-20 | Best Stock Picks Today</x:v>
      </x:c>
      <x:c r="C486" s="14" t="d">
        <x:v>2020-06-10T00:00:00.000Z</x:v>
      </x:c>
      <x:c r="D486" s="18" t="e">
        <x:f>HYPERLINK("https://www.youtube.com/watch?v=h-ay4_i4lgs","Watch video")</x:f>
        <x:v>HYPERLINK is not implemented. linkLocation=https://www.youtube.com/watch?v=h-ay4_i4lgs, friendlyName=Watch video</x:v>
      </x:c>
      <x:c r="E486" s="18" t="e">
        <x:f>HYPERLINK("transcripts/h-ay4_i4lgs.html","Complete transcript")</x:f>
        <x:v>HYPERLINK is not implemented. linkLocation=transcripts/h-ay4_i4lgs.html, friendlyName=Complete transcript</x:v>
      </x:c>
      <x:c r="F486" s="13" t="str">
        <x:v>UNKNOWN_REQUIRES_REVIEW</x:v>
      </x:c>
      <x:c r="G486" s="17" t="str">
        <x:v>UNREVIEWED</x:v>
      </x:c>
      <x:c r="H486" s="17" t="str"/>
      <x:c r="I486" s="17" t="str"/>
      <x:c r="J486" s="17" t="str"/>
      <x:c r="K486" s="17" t="str"/>
      <x:c r="L486" s="17" t="str"/>
      <x:c r="M486" s="17" t="str">
        <x:v>PENDING WHOLE-VIDEO REVIEW</x:v>
      </x:c>
      <x:c r="N486" s="15" t="n">
        <x:v>336</x:v>
      </x:c>
      <x:c r="O486" s="15" t="n">
        <x:v>2353</x:v>
      </x:c>
      <x:c r="P486" s="15" t="n">
        <x:v>685</x:v>
      </x:c>
      <x:c r="Q486" s="13" t="str">
        <x:v>NO_LARGE_TAIL_GAP</x:v>
      </x:c>
      <x:c r="R486" s="13" t="str"/>
      <x:c r="S486" s="16" t="n">
        <x:v>0</x:v>
      </x:c>
      <x:c r="T486" s="13" t="str">
        <x:v>3aa16bc6e45a9681bdb51cc86070ee86b14342fa4c3c82be528ec2fa000a9ab9</x:v>
      </x:c>
    </x:row>
    <x:row r="487" ht="15" hidden="0" customHeight="1">
      <x:c r="A487" s="13" t="str">
        <x:v>h2h9dBkLelw</x:v>
      </x:c>
      <x:c r="B487" s="13" t="str">
        <x:v>Finding Stocks to Trade | Weekly Game Plan 4.20.15</x:v>
      </x:c>
      <x:c r="C487" s="14" t="d">
        <x:v>2015-04-20T00:00:00.000Z</x:v>
      </x:c>
      <x:c r="D487" s="18" t="e">
        <x:f>HYPERLINK("https://www.youtube.com/watch?v=h2h9dBkLelw","Watch video")</x:f>
        <x:v>HYPERLINK is not implemented. linkLocation=https://www.youtube.com/watch?v=h2h9dBkLelw, friendlyName=Watch video</x:v>
      </x:c>
      <x:c r="E487" s="18" t="e">
        <x:f>HYPERLINK("transcripts/h2h9dBkLelw.html","Complete transcript")</x:f>
        <x:v>HYPERLINK is not implemented. linkLocation=transcripts/h2h9dBkLelw.html, friendlyName=Complete transcript</x:v>
      </x:c>
      <x:c r="F487" s="13" t="str">
        <x:v>UNKNOWN_REQUIRES_REVIEW</x:v>
      </x:c>
      <x:c r="G487" s="17" t="str">
        <x:v>UNREVIEWED</x:v>
      </x:c>
      <x:c r="H487" s="17" t="str"/>
      <x:c r="I487" s="17" t="str"/>
      <x:c r="J487" s="17" t="str"/>
      <x:c r="K487" s="17" t="str"/>
      <x:c r="L487" s="17" t="str"/>
      <x:c r="M487" s="17" t="str">
        <x:v>PENDING WHOLE-VIDEO REVIEW</x:v>
      </x:c>
      <x:c r="N487" s="15" t="n">
        <x:v>451</x:v>
      </x:c>
      <x:c r="O487" s="15" t="n">
        <x:v>3199</x:v>
      </x:c>
      <x:c r="P487" s="15" t="n">
        <x:v>1029</x:v>
      </x:c>
      <x:c r="Q487" s="13" t="str">
        <x:v>NO_LARGE_TAIL_GAP</x:v>
      </x:c>
      <x:c r="R487" s="13" t="str"/>
      <x:c r="S487" s="16" t="n">
        <x:v>0</x:v>
      </x:c>
      <x:c r="T487" s="13" t="str">
        <x:v>2d291242839163eb7135e822978f44fbe5f7f27f85e4a5d3deb96a0d25793709</x:v>
      </x:c>
    </x:row>
    <x:row r="488" ht="15" hidden="0" customHeight="1">
      <x:c r="A488" s="13" t="str">
        <x:v>h3G4FhIlxRI</x:v>
      </x:c>
      <x:c r="B488" s="13" t="str">
        <x:v>Stocks for Breakfast | SMALL PROFIT SYNDROME</x:v>
      </x:c>
      <x:c r="C488" s="14" t="d">
        <x:v>2021-01-11T00:00:00.000Z</x:v>
      </x:c>
      <x:c r="D488" s="18" t="e">
        <x:f>HYPERLINK("https://www.youtube.com/watch?v=h3G4FhIlxRI","Watch video")</x:f>
        <x:v>HYPERLINK is not implemented. linkLocation=https://www.youtube.com/watch?v=h3G4FhIlxRI, friendlyName=Watch video</x:v>
      </x:c>
      <x:c r="E488" s="18" t="e">
        <x:f>HYPERLINK("transcripts/h3G4FhIlxRI.html","Complete transcript")</x:f>
        <x:v>HYPERLINK is not implemented. linkLocation=transcripts/h3G4FhIlxRI.html, friendlyName=Complete transcript</x:v>
      </x:c>
      <x:c r="F488" s="13" t="str">
        <x:v>PETE_EXPLICIT</x:v>
      </x:c>
      <x:c r="G488" s="17" t="str">
        <x:v>UNREVIEWED</x:v>
      </x:c>
      <x:c r="H488" s="17" t="str"/>
      <x:c r="I488" s="17" t="str"/>
      <x:c r="J488" s="17" t="str"/>
      <x:c r="K488" s="17" t="str"/>
      <x:c r="L488" s="17" t="str"/>
      <x:c r="M488" s="17" t="str">
        <x:v>PENDING WHOLE-VIDEO REVIEW</x:v>
      </x:c>
      <x:c r="N488" s="15" t="n">
        <x:v>530</x:v>
      </x:c>
      <x:c r="O488" s="15" t="n">
        <x:v>3233</x:v>
      </x:c>
      <x:c r="P488" s="15" t="n">
        <x:v>968</x:v>
      </x:c>
      <x:c r="Q488" s="13" t="str">
        <x:v>NO_LARGE_TAIL_GAP</x:v>
      </x:c>
      <x:c r="R488" s="13" t="str"/>
      <x:c r="S488" s="16" t="n">
        <x:v>0</x:v>
      </x:c>
      <x:c r="T488" s="13" t="str">
        <x:v>ec7cd746665f513b97633c1bdc987b068f0524277cd7b405ef0cf72fd245978a</x:v>
      </x:c>
    </x:row>
    <x:row r="489" ht="15" hidden="0" customHeight="1">
      <x:c r="A489" s="13" t="str">
        <x:v>h4uSX57EWy4</x:v>
      </x:c>
      <x:c r="B489" s="13" t="str">
        <x:v>Today's Stock Picks | Trading Strategy Review |  Jesse Livermore</x:v>
      </x:c>
      <x:c r="C489" s="14" t="d">
        <x:v>2020-03-26T00:00:00.000Z</x:v>
      </x:c>
      <x:c r="D489" s="18" t="e">
        <x:f>HYPERLINK("https://www.youtube.com/watch?v=h4uSX57EWy4","Watch video")</x:f>
        <x:v>HYPERLINK is not implemented. linkLocation=https://www.youtube.com/watch?v=h4uSX57EWy4, friendlyName=Watch video</x:v>
      </x:c>
      <x:c r="E489" s="18" t="e">
        <x:f>HYPERLINK("transcripts/h4uSX57EWy4.html","Complete transcript")</x:f>
        <x:v>HYPERLINK is not implemented. linkLocation=transcripts/h4uSX57EWy4.html, friendlyName=Complete transcript</x:v>
      </x:c>
      <x:c r="F489" s="13" t="str">
        <x:v>PETE_EXPLICIT</x:v>
      </x:c>
      <x:c r="G489" s="17" t="str">
        <x:v>UNREVIEWED</x:v>
      </x:c>
      <x:c r="H489" s="17" t="str"/>
      <x:c r="I489" s="17" t="str"/>
      <x:c r="J489" s="17" t="str"/>
      <x:c r="K489" s="17" t="str"/>
      <x:c r="L489" s="17" t="str"/>
      <x:c r="M489" s="17" t="str">
        <x:v>PENDING WHOLE-VIDEO REVIEW</x:v>
      </x:c>
      <x:c r="N489" s="15" t="n">
        <x:v>585</x:v>
      </x:c>
      <x:c r="O489" s="15" t="n">
        <x:v>4321</x:v>
      </x:c>
      <x:c r="P489" s="15" t="n">
        <x:v>1266</x:v>
      </x:c>
      <x:c r="Q489" s="13" t="str">
        <x:v>NO_LARGE_TAIL_GAP</x:v>
      </x:c>
      <x:c r="R489" s="13" t="str"/>
      <x:c r="S489" s="16" t="n">
        <x:v>0</x:v>
      </x:c>
      <x:c r="T489" s="13" t="str">
        <x:v>e176407cdee5a8e6faa296f795f33bdc8434c3ab26d74f247fe5bb792a2e3e79</x:v>
      </x:c>
    </x:row>
    <x:row r="490" ht="15" hidden="0" customHeight="1">
      <x:c r="A490" s="13" t="str">
        <x:v>hDFVtfncnoM</x:v>
      </x:c>
      <x:c r="B490" s="13" t="str">
        <x:v>Stock Market Braces For Volatile Week: Trade Ideas</x:v>
      </x:c>
      <x:c r="C490" s="14" t="d">
        <x:v>2024-07-28T00:00:00.000Z</x:v>
      </x:c>
      <x:c r="D490" s="18" t="e">
        <x:f>HYPERLINK("https://www.youtube.com/watch?v=hDFVtfncnoM","Watch video")</x:f>
        <x:v>HYPERLINK is not implemented. linkLocation=https://www.youtube.com/watch?v=hDFVtfncnoM, friendlyName=Watch video</x:v>
      </x:c>
      <x:c r="E490" s="18" t="e">
        <x:f>HYPERLINK("transcripts/hDFVtfncnoM.html","Complete transcript")</x:f>
        <x:v>HYPERLINK is not implemented. linkLocation=transcripts/hDFVtfncnoM.html, friendlyName=Complete transcript</x:v>
      </x:c>
      <x:c r="F490" s="13" t="str">
        <x:v>UNKNOWN_REQUIRES_REVIEW</x:v>
      </x:c>
      <x:c r="G490" s="17" t="str">
        <x:v>UNREVIEWED</x:v>
      </x:c>
      <x:c r="H490" s="17" t="str"/>
      <x:c r="I490" s="17" t="str"/>
      <x:c r="J490" s="17" t="str"/>
      <x:c r="K490" s="17" t="str"/>
      <x:c r="L490" s="17" t="str"/>
      <x:c r="M490" s="17" t="str">
        <x:v>PENDING WHOLE-VIDEO REVIEW</x:v>
      </x:c>
      <x:c r="N490" s="15" t="n">
        <x:v>1584</x:v>
      </x:c>
      <x:c r="O490" s="15" t="n">
        <x:v>11903</x:v>
      </x:c>
      <x:c r="P490" s="15" t="n">
        <x:v>3446</x:v>
      </x:c>
      <x:c r="Q490" s="13" t="str">
        <x:v>NO_LARGE_TAIL_GAP</x:v>
      </x:c>
      <x:c r="R490" s="13" t="str"/>
      <x:c r="S490" s="16" t="n">
        <x:v>0</x:v>
      </x:c>
      <x:c r="T490" s="13" t="str">
        <x:v>0ed86949d33410e397af302626cba5c50022c3175cdd5de7713644978e266478</x:v>
      </x:c>
    </x:row>
    <x:row r="491" ht="15" hidden="0" customHeight="1">
      <x:c r="A491" s="13" t="str">
        <x:v>hK7Pwz0ynyk</x:v>
      </x:c>
      <x:c r="B491" s="13" t="str">
        <x:v>stock market picks stocks for breakfast 3 11 20</x:v>
      </x:c>
      <x:c r="C491" s="14" t="d">
        <x:v>2020-03-11T00:00:00.000Z</x:v>
      </x:c>
      <x:c r="D491" s="18" t="e">
        <x:f>HYPERLINK("https://www.youtube.com/watch?v=hK7Pwz0ynyk","Watch video")</x:f>
        <x:v>HYPERLINK is not implemented. linkLocation=https://www.youtube.com/watch?v=hK7Pwz0ynyk, friendlyName=Watch video</x:v>
      </x:c>
      <x:c r="E491" s="18" t="e">
        <x:f>HYPERLINK("transcripts/hK7Pwz0ynyk.html","Complete transcript")</x:f>
        <x:v>HYPERLINK is not implemented. linkLocation=transcripts/hK7Pwz0ynyk.html, friendlyName=Complete transcript</x:v>
      </x:c>
      <x:c r="F491" s="13" t="str">
        <x:v>UNKNOWN_REQUIRES_REVIEW</x:v>
      </x:c>
      <x:c r="G491" s="17" t="str">
        <x:v>UNREVIEWED</x:v>
      </x:c>
      <x:c r="H491" s="17" t="str"/>
      <x:c r="I491" s="17" t="str"/>
      <x:c r="J491" s="17" t="str"/>
      <x:c r="K491" s="17" t="str"/>
      <x:c r="L491" s="17" t="str"/>
      <x:c r="M491" s="17" t="str">
        <x:v>PENDING WHOLE-VIDEO REVIEW</x:v>
      </x:c>
      <x:c r="N491" s="15" t="n">
        <x:v>666</x:v>
      </x:c>
      <x:c r="O491" s="15" t="n">
        <x:v>4928</x:v>
      </x:c>
      <x:c r="P491" s="15" t="n">
        <x:v>1487</x:v>
      </x:c>
      <x:c r="Q491" s="13" t="str">
        <x:v>NO_LARGE_TAIL_GAP</x:v>
      </x:c>
      <x:c r="R491" s="13" t="str"/>
      <x:c r="S491" s="16" t="n">
        <x:v>0</x:v>
      </x:c>
      <x:c r="T491" s="13" t="str">
        <x:v>9d95d0a21eb85d0cfc9848b89a33b18faf1a3904c91e86dd69cb3b737961b6a5</x:v>
      </x:c>
    </x:row>
    <x:row r="492" ht="15" hidden="0" customHeight="1">
      <x:c r="A492" s="13" t="str">
        <x:v>hKgK1LfNZck</x:v>
      </x:c>
      <x:c r="B492" s="13" t="str">
        <x:v>NFLX Earnings Netflix 7 16 20 Best Stock Picks Today</x:v>
      </x:c>
      <x:c r="C492" s="14" t="d">
        <x:v>2020-07-16T00:00:00.000Z</x:v>
      </x:c>
      <x:c r="D492" s="18" t="e">
        <x:f>HYPERLINK("https://www.youtube.com/watch?v=hKgK1LfNZck","Watch video")</x:f>
        <x:v>HYPERLINK is not implemented. linkLocation=https://www.youtube.com/watch?v=hKgK1LfNZck, friendlyName=Watch video</x:v>
      </x:c>
      <x:c r="E492" s="18" t="e">
        <x:f>HYPERLINK("transcripts/hKgK1LfNZck.html","Complete transcript")</x:f>
        <x:v>HYPERLINK is not implemented. linkLocation=transcripts/hKgK1LfNZck.html, friendlyName=Complete transcript</x:v>
      </x:c>
      <x:c r="F492" s="13" t="str">
        <x:v>UNKNOWN_REQUIRES_REVIEW</x:v>
      </x:c>
      <x:c r="G492" s="17" t="str">
        <x:v>UNREVIEWED</x:v>
      </x:c>
      <x:c r="H492" s="17" t="str"/>
      <x:c r="I492" s="17" t="str"/>
      <x:c r="J492" s="17" t="str"/>
      <x:c r="K492" s="17" t="str"/>
      <x:c r="L492" s="17" t="str"/>
      <x:c r="M492" s="17" t="str">
        <x:v>PENDING WHOLE-VIDEO REVIEW</x:v>
      </x:c>
      <x:c r="N492" s="15" t="n">
        <x:v>525</x:v>
      </x:c>
      <x:c r="O492" s="15" t="n">
        <x:v>3796</x:v>
      </x:c>
      <x:c r="P492" s="15" t="n">
        <x:v>1084</x:v>
      </x:c>
      <x:c r="Q492" s="13" t="str">
        <x:v>NO_LARGE_TAIL_GAP</x:v>
      </x:c>
      <x:c r="R492" s="13" t="str"/>
      <x:c r="S492" s="16" t="n">
        <x:v>0</x:v>
      </x:c>
      <x:c r="T492" s="13" t="str">
        <x:v>b2ab2d70867192625e0a5cf22d1f40bb335f01243c26e601f7b8e65bf853d1c6</x:v>
      </x:c>
    </x:row>
    <x:row r="493" ht="15" hidden="0" customHeight="1">
      <x:c r="A493" s="13" t="str">
        <x:v>hR4bM5MUUYc</x:v>
      </x:c>
      <x:c r="B493" s="13" t="str">
        <x:v>How To Have CONVICTION In Your Options Trades</x:v>
      </x:c>
      <x:c r="C493" s="14" t="d">
        <x:v>2024-07-09T00:00:00.000Z</x:v>
      </x:c>
      <x:c r="D493" s="18" t="e">
        <x:f>HYPERLINK("https://www.youtube.com/watch?v=hR4bM5MUUYc","Watch video")</x:f>
        <x:v>HYPERLINK is not implemented. linkLocation=https://www.youtube.com/watch?v=hR4bM5MUUYc, friendlyName=Watch video</x:v>
      </x:c>
      <x:c r="E493" s="18" t="e">
        <x:f>HYPERLINK("transcripts/hR4bM5MUUYc.html","Complete transcript")</x:f>
        <x:v>HYPERLINK is not implemented. linkLocation=transcripts/hR4bM5MUUYc.html, friendlyName=Complete transcript</x:v>
      </x:c>
      <x:c r="F493" s="13" t="str">
        <x:v>NON_PETE_EXPLICIT_JOHN</x:v>
      </x:c>
      <x:c r="G493" s="17" t="str">
        <x:v>UNREVIEWED</x:v>
      </x:c>
      <x:c r="H493" s="17" t="str"/>
      <x:c r="I493" s="17" t="str"/>
      <x:c r="J493" s="17" t="str"/>
      <x:c r="K493" s="17" t="str"/>
      <x:c r="L493" s="17" t="str"/>
      <x:c r="M493" s="17" t="str">
        <x:v>PENDING WHOLE-VIDEO REVIEW</x:v>
      </x:c>
      <x:c r="N493" s="15" t="n">
        <x:v>172</x:v>
      </x:c>
      <x:c r="O493" s="15" t="n">
        <x:v>1222</x:v>
      </x:c>
      <x:c r="P493" s="15" t="n">
        <x:v>373</x:v>
      </x:c>
      <x:c r="Q493" s="13" t="str">
        <x:v>NO_LARGE_TAIL_GAP</x:v>
      </x:c>
      <x:c r="R493" s="13" t="str"/>
      <x:c r="S493" s="16" t="n">
        <x:v>0</x:v>
      </x:c>
      <x:c r="T493" s="13" t="str">
        <x:v>221de7b1329d1b99106a07ce293726096091fd369cf6fcc65a1a2eaa9f2372c5</x:v>
      </x:c>
    </x:row>
    <x:row r="494" ht="15" hidden="0" customHeight="1">
      <x:c r="A494" s="13" t="str">
        <x:v>hUjg7xhnJ4Y</x:v>
      </x:c>
      <x:c r="B494" s="13" t="str">
        <x:v>Best Stock Picks Today | WKHS Swing Trade 9-14-20</x:v>
      </x:c>
      <x:c r="C494" s="14" t="d">
        <x:v>2020-09-14T00:00:00.000Z</x:v>
      </x:c>
      <x:c r="D494" s="18" t="e">
        <x:f>HYPERLINK("https://www.youtube.com/watch?v=hUjg7xhnJ4Y","Watch video")</x:f>
        <x:v>HYPERLINK is not implemented. linkLocation=https://www.youtube.com/watch?v=hUjg7xhnJ4Y, friendlyName=Watch video</x:v>
      </x:c>
      <x:c r="E494" s="18" t="e">
        <x:f>HYPERLINK("transcripts/hUjg7xhnJ4Y.html","Complete transcript")</x:f>
        <x:v>HYPERLINK is not implemented. linkLocation=transcripts/hUjg7xhnJ4Y.html, friendlyName=Complete transcript</x:v>
      </x:c>
      <x:c r="F494" s="13" t="str">
        <x:v>PETE_EXPLICIT</x:v>
      </x:c>
      <x:c r="G494" s="17" t="str">
        <x:v>UNREVIEWED</x:v>
      </x:c>
      <x:c r="H494" s="17" t="str"/>
      <x:c r="I494" s="17" t="str"/>
      <x:c r="J494" s="17" t="str"/>
      <x:c r="K494" s="17" t="str"/>
      <x:c r="L494" s="17" t="str"/>
      <x:c r="M494" s="17" t="str">
        <x:v>PENDING WHOLE-VIDEO REVIEW</x:v>
      </x:c>
      <x:c r="N494" s="15" t="n">
        <x:v>429</x:v>
      </x:c>
      <x:c r="O494" s="15" t="n">
        <x:v>2695</x:v>
      </x:c>
      <x:c r="P494" s="15" t="n">
        <x:v>759</x:v>
      </x:c>
      <x:c r="Q494" s="13" t="str">
        <x:v>NO_LARGE_TAIL_GAP</x:v>
      </x:c>
      <x:c r="R494" s="13" t="str"/>
      <x:c r="S494" s="16" t="n">
        <x:v>0</x:v>
      </x:c>
      <x:c r="T494" s="13" t="str">
        <x:v>d3682e9e483e5fc0533533890ebc6a554a867519606cefe11efb9982edf2785c</x:v>
      </x:c>
    </x:row>
    <x:row r="495" ht="15" hidden="0" customHeight="1">
      <x:c r="A495" s="13" t="str">
        <x:v>haUwP7fSSk0</x:v>
      </x:c>
      <x:c r="B495" s="13" t="str">
        <x:v>BA Boeing Trade | Best Stock Picks Today 10-16-20</x:v>
      </x:c>
      <x:c r="C495" s="14" t="d">
        <x:v>2020-10-16T00:00:00.000Z</x:v>
      </x:c>
      <x:c r="D495" s="18" t="e">
        <x:f>HYPERLINK("https://www.youtube.com/watch?v=haUwP7fSSk0","Watch video")</x:f>
        <x:v>HYPERLINK is not implemented. linkLocation=https://www.youtube.com/watch?v=haUwP7fSSk0, friendlyName=Watch video</x:v>
      </x:c>
      <x:c r="E495" s="18" t="e">
        <x:f>HYPERLINK("transcripts/haUwP7fSSk0.html","Complete transcript")</x:f>
        <x:v>HYPERLINK is not implemented. linkLocation=transcripts/haUwP7fSSk0.html, friendlyName=Complete transcript</x:v>
      </x:c>
      <x:c r="F495" s="13" t="str">
        <x:v>PETE_EXPLICIT</x:v>
      </x:c>
      <x:c r="G495" s="17" t="str">
        <x:v>UNREVIEWED</x:v>
      </x:c>
      <x:c r="H495" s="17" t="str"/>
      <x:c r="I495" s="17" t="str"/>
      <x:c r="J495" s="17" t="str"/>
      <x:c r="K495" s="17" t="str"/>
      <x:c r="L495" s="17" t="str"/>
      <x:c r="M495" s="17" t="str">
        <x:v>PENDING WHOLE-VIDEO REVIEW</x:v>
      </x:c>
      <x:c r="N495" s="15" t="n">
        <x:v>333</x:v>
      </x:c>
      <x:c r="O495" s="15" t="n">
        <x:v>2110</x:v>
      </x:c>
      <x:c r="P495" s="15" t="n">
        <x:v>573</x:v>
      </x:c>
      <x:c r="Q495" s="13" t="str">
        <x:v>NO_LARGE_TAIL_GAP</x:v>
      </x:c>
      <x:c r="R495" s="13" t="str"/>
      <x:c r="S495" s="16" t="n">
        <x:v>0</x:v>
      </x:c>
      <x:c r="T495" s="13" t="str">
        <x:v>a4a5f61028d4129e285cf0d8435812ffb6244593219aca722cebd5ac78873d50</x:v>
      </x:c>
    </x:row>
    <x:row r="496" ht="15" hidden="0" customHeight="1">
      <x:c r="A496" s="13" t="str">
        <x:v>hdG0rfSRR6k</x:v>
      </x:c>
      <x:c r="B496" s="13" t="str">
        <x:v>Stocks, Options And The French Warren Buffett</x:v>
      </x:c>
      <x:c r="C496" s="14" t="d">
        <x:v>2024-08-25T00:00:00.000Z</x:v>
      </x:c>
      <x:c r="D496" s="18" t="e">
        <x:f>HYPERLINK("https://www.youtube.com/watch?v=hdG0rfSRR6k","Watch video")</x:f>
        <x:v>HYPERLINK is not implemented. linkLocation=https://www.youtube.com/watch?v=hdG0rfSRR6k, friendlyName=Watch video</x:v>
      </x:c>
      <x:c r="E496" s="18" t="e">
        <x:f>HYPERLINK("transcripts/hdG0rfSRR6k.html","Complete transcript")</x:f>
        <x:v>HYPERLINK is not implemented. linkLocation=transcripts/hdG0rfSRR6k.html, friendlyName=Complete transcript</x:v>
      </x:c>
      <x:c r="F496" s="13" t="str">
        <x:v>UNKNOWN_REQUIRES_REVIEW</x:v>
      </x:c>
      <x:c r="G496" s="17" t="str">
        <x:v>UNREVIEWED</x:v>
      </x:c>
      <x:c r="H496" s="17" t="str"/>
      <x:c r="I496" s="17" t="str"/>
      <x:c r="J496" s="17" t="str"/>
      <x:c r="K496" s="17" t="str"/>
      <x:c r="L496" s="17" t="str"/>
      <x:c r="M496" s="17" t="str">
        <x:v>PENDING WHOLE-VIDEO REVIEW</x:v>
      </x:c>
      <x:c r="N496" s="15" t="n">
        <x:v>1944</x:v>
      </x:c>
      <x:c r="O496" s="15" t="n">
        <x:v>14614</x:v>
      </x:c>
      <x:c r="P496" s="15" t="n">
        <x:v>4125</x:v>
      </x:c>
      <x:c r="Q496" s="13" t="str">
        <x:v>NO_LARGE_TAIL_GAP</x:v>
      </x:c>
      <x:c r="R496" s="13" t="str"/>
      <x:c r="S496" s="16" t="n">
        <x:v>0</x:v>
      </x:c>
      <x:c r="T496" s="13" t="str">
        <x:v>940710f470cee6d0b89353605de42d4a2adaf1b2157e45db6444c61b8b5a3e03</x:v>
      </x:c>
    </x:row>
    <x:row r="497" ht="15" hidden="0" customHeight="1">
      <x:c r="A497" s="13" t="str">
        <x:v>hnjB24eR3og</x:v>
      </x:c>
      <x:c r="B497" s="13" t="str">
        <x:v>AAPL Apple Inc Swing Trade | Best Stock Picks Today 12-16-20</x:v>
      </x:c>
      <x:c r="C497" s="14" t="d">
        <x:v>2020-12-16T00:00:00.000Z</x:v>
      </x:c>
      <x:c r="D497" s="18" t="e">
        <x:f>HYPERLINK("https://www.youtube.com/watch?v=hnjB24eR3og","Watch video")</x:f>
        <x:v>HYPERLINK is not implemented. linkLocation=https://www.youtube.com/watch?v=hnjB24eR3og, friendlyName=Watch video</x:v>
      </x:c>
      <x:c r="E497" s="18" t="e">
        <x:f>HYPERLINK("transcripts/hnjB24eR3og.html","Complete transcript")</x:f>
        <x:v>HYPERLINK is not implemented. linkLocation=transcripts/hnjB24eR3og.html, friendlyName=Complete transcript</x:v>
      </x:c>
      <x:c r="F497" s="13" t="str">
        <x:v>PETE_EXPLICIT</x:v>
      </x:c>
      <x:c r="G497" s="17" t="str">
        <x:v>UNREVIEWED</x:v>
      </x:c>
      <x:c r="H497" s="17" t="str"/>
      <x:c r="I497" s="17" t="str"/>
      <x:c r="J497" s="17" t="str"/>
      <x:c r="K497" s="17" t="str"/>
      <x:c r="L497" s="17" t="str"/>
      <x:c r="M497" s="17" t="str">
        <x:v>PENDING WHOLE-VIDEO REVIEW</x:v>
      </x:c>
      <x:c r="N497" s="15" t="n">
        <x:v>394</x:v>
      </x:c>
      <x:c r="O497" s="15" t="n">
        <x:v>2430</x:v>
      </x:c>
      <x:c r="P497" s="15" t="n">
        <x:v>681</x:v>
      </x:c>
      <x:c r="Q497" s="13" t="str">
        <x:v>NO_LARGE_TAIL_GAP</x:v>
      </x:c>
      <x:c r="R497" s="13" t="str"/>
      <x:c r="S497" s="16" t="n">
        <x:v>0</x:v>
      </x:c>
      <x:c r="T497" s="13" t="str">
        <x:v>c2921e8b3d21d523db1b2a4ebad69d35a1699136c6efaadbb2f0258c1843a6c2</x:v>
      </x:c>
    </x:row>
    <x:row r="498" ht="15" hidden="0" customHeight="1">
      <x:c r="A498" s="13" t="str">
        <x:v>hrhdnXF7Vi4</x:v>
      </x:c>
      <x:c r="B498" s="13" t="str">
        <x:v>Options Trading: Screen Like a Pro in Volatile Markets</x:v>
      </x:c>
      <x:c r="C498" s="14" t="d">
        <x:v>2025-08-04T00:00:00.000Z</x:v>
      </x:c>
      <x:c r="D498" s="18" t="e">
        <x:f>HYPERLINK("https://www.youtube.com/watch?v=hrhdnXF7Vi4","Watch video")</x:f>
        <x:v>HYPERLINK is not implemented. linkLocation=https://www.youtube.com/watch?v=hrhdnXF7Vi4, friendlyName=Watch video</x:v>
      </x:c>
      <x:c r="E498" s="18" t="e">
        <x:f>HYPERLINK("transcripts/hrhdnXF7Vi4.html","Complete transcript")</x:f>
        <x:v>HYPERLINK is not implemented. linkLocation=transcripts/hrhdnXF7Vi4.html, friendlyName=Complete transcript</x:v>
      </x:c>
      <x:c r="F498" s="13" t="str">
        <x:v>UNKNOWN_REQUIRES_REVIEW</x:v>
      </x:c>
      <x:c r="G498" s="17" t="str">
        <x:v>UNREVIEWED</x:v>
      </x:c>
      <x:c r="H498" s="17" t="str"/>
      <x:c r="I498" s="17" t="str"/>
      <x:c r="J498" s="17" t="str"/>
      <x:c r="K498" s="17" t="str"/>
      <x:c r="L498" s="17" t="str"/>
      <x:c r="M498" s="17" t="str">
        <x:v>PENDING WHOLE-VIDEO REVIEW</x:v>
      </x:c>
      <x:c r="N498" s="15" t="n">
        <x:v>356</x:v>
      </x:c>
      <x:c r="O498" s="15" t="n">
        <x:v>2606</x:v>
      </x:c>
      <x:c r="P498" s="15" t="n">
        <x:v>786</x:v>
      </x:c>
      <x:c r="Q498" s="13" t="str">
        <x:v>NO_LARGE_TAIL_GAP</x:v>
      </x:c>
      <x:c r="R498" s="13" t="str"/>
      <x:c r="S498" s="16" t="n">
        <x:v>0</x:v>
      </x:c>
      <x:c r="T498" s="13" t="str">
        <x:v>d1048d48481fd774756e500f6395a9dd3eb8e96c427ceb1ee850f258b375e30a</x:v>
      </x:c>
    </x:row>
    <x:row r="499" ht="15" hidden="0" customHeight="1">
      <x:c r="A499" s="13" t="str">
        <x:v>i1DjHozYZeA</x:v>
      </x:c>
      <x:c r="B499" s="13" t="str">
        <x:v>Options Trading Insight: Credit Spread Versus Debit Spread</x:v>
      </x:c>
      <x:c r="C499" s="14" t="d">
        <x:v>2024-07-09T00:00:00.000Z</x:v>
      </x:c>
      <x:c r="D499" s="18" t="e">
        <x:f>HYPERLINK("https://www.youtube.com/watch?v=i1DjHozYZeA","Watch video")</x:f>
        <x:v>HYPERLINK is not implemented. linkLocation=https://www.youtube.com/watch?v=i1DjHozYZeA, friendlyName=Watch video</x:v>
      </x:c>
      <x:c r="E499" s="18" t="e">
        <x:f>HYPERLINK("transcripts/i1DjHozYZeA.html","Complete transcript")</x:f>
        <x:v>HYPERLINK is not implemented. linkLocation=transcripts/i1DjHozYZeA.html, friendlyName=Complete transcript</x:v>
      </x:c>
      <x:c r="F499" s="13" t="str">
        <x:v>UNKNOWN_REQUIRES_REVIEW</x:v>
      </x:c>
      <x:c r="G499" s="17" t="str">
        <x:v>UNREVIEWED</x:v>
      </x:c>
      <x:c r="H499" s="17" t="str"/>
      <x:c r="I499" s="17" t="str"/>
      <x:c r="J499" s="17" t="str"/>
      <x:c r="K499" s="17" t="str"/>
      <x:c r="L499" s="17" t="str"/>
      <x:c r="M499" s="17" t="str">
        <x:v>PENDING WHOLE-VIDEO REVIEW</x:v>
      </x:c>
      <x:c r="N499" s="15" t="n">
        <x:v>90</x:v>
      </x:c>
      <x:c r="O499" s="15" t="n">
        <x:v>656</x:v>
      </x:c>
      <x:c r="P499" s="15" t="n">
        <x:v>187</x:v>
      </x:c>
      <x:c r="Q499" s="13" t="str">
        <x:v>NO_LARGE_TAIL_GAP</x:v>
      </x:c>
      <x:c r="R499" s="13" t="str"/>
      <x:c r="S499" s="16" t="n">
        <x:v>0</x:v>
      </x:c>
      <x:c r="T499" s="13" t="str">
        <x:v>394b779ec1adb0f0384eb7af973af570393f8af4bfd627bec814f3b9341d6538</x:v>
      </x:c>
    </x:row>
    <x:row r="500" ht="15" hidden="0" customHeight="1">
      <x:c r="A500" s="13" t="str">
        <x:v>i2c9i8BIhpw</x:v>
      </x:c>
      <x:c r="B500" s="13" t="str">
        <x:v>Stocks for Breakfast | Earnings Report Trading Strategy</x:v>
      </x:c>
      <x:c r="C500" s="14" t="d">
        <x:v>2021-01-27T00:00:00.000Z</x:v>
      </x:c>
      <x:c r="D500" s="18" t="e">
        <x:f>HYPERLINK("https://www.youtube.com/watch?v=i2c9i8BIhpw","Watch video")</x:f>
        <x:v>HYPERLINK is not implemented. linkLocation=https://www.youtube.com/watch?v=i2c9i8BIhpw, friendlyName=Watch video</x:v>
      </x:c>
      <x:c r="E500" s="18" t="e">
        <x:f>HYPERLINK("transcripts/i2c9i8BIhpw.html","Complete transcript")</x:f>
        <x:v>HYPERLINK is not implemented. linkLocation=transcripts/i2c9i8BIhpw.html, friendlyName=Complete transcript</x:v>
      </x:c>
      <x:c r="F500" s="13" t="str">
        <x:v>PETE_EXPLICIT</x:v>
      </x:c>
      <x:c r="G500" s="17" t="str">
        <x:v>UNREVIEWED</x:v>
      </x:c>
      <x:c r="H500" s="17" t="str"/>
      <x:c r="I500" s="17" t="str"/>
      <x:c r="J500" s="17" t="str"/>
      <x:c r="K500" s="17" t="str"/>
      <x:c r="L500" s="17" t="str"/>
      <x:c r="M500" s="17" t="str">
        <x:v>PENDING WHOLE-VIDEO REVIEW</x:v>
      </x:c>
      <x:c r="N500" s="15" t="n">
        <x:v>229</x:v>
      </x:c>
      <x:c r="O500" s="15" t="n">
        <x:v>1389</x:v>
      </x:c>
      <x:c r="P500" s="15" t="n">
        <x:v>403</x:v>
      </x:c>
      <x:c r="Q500" s="13" t="str">
        <x:v>NO_LARGE_TAIL_GAP</x:v>
      </x:c>
      <x:c r="R500" s="13" t="str"/>
      <x:c r="S500" s="16" t="n">
        <x:v>0</x:v>
      </x:c>
      <x:c r="T500" s="13" t="str">
        <x:v>a8dc43523fb3317b36fb4236f72ec8f1200bac44d0566ba117e6b3390cb8eaef</x:v>
      </x:c>
    </x:row>
    <x:row r="501" ht="15" hidden="0" customHeight="1">
      <x:c r="A501" s="13" t="str">
        <x:v>i3-hCWiZO0o</x:v>
      </x:c>
      <x:c r="B501" s="13" t="str">
        <x:v>Best Stock Picks Today | Trading PYPL Earnings 2-4-21</x:v>
      </x:c>
      <x:c r="C501" s="14" t="d">
        <x:v>2021-02-04T00:00:00.000Z</x:v>
      </x:c>
      <x:c r="D501" s="18" t="e">
        <x:f>HYPERLINK("https://www.youtube.com/watch?v=i3-hCWiZO0o","Watch video")</x:f>
        <x:v>HYPERLINK is not implemented. linkLocation=https://www.youtube.com/watch?v=i3-hCWiZO0o, friendlyName=Watch video</x:v>
      </x:c>
      <x:c r="E501" s="18" t="e">
        <x:f>HYPERLINK("transcripts/i3-hCWiZO0o.html","Complete transcript")</x:f>
        <x:v>HYPERLINK is not implemented. linkLocation=transcripts/i3-hCWiZO0o.html, friendlyName=Complete transcript</x:v>
      </x:c>
      <x:c r="F501" s="13" t="str">
        <x:v>PETE_EXPLICIT</x:v>
      </x:c>
      <x:c r="G501" s="17" t="str">
        <x:v>UNREVIEWED</x:v>
      </x:c>
      <x:c r="H501" s="17" t="str"/>
      <x:c r="I501" s="17" t="str"/>
      <x:c r="J501" s="17" t="str"/>
      <x:c r="K501" s="17" t="str"/>
      <x:c r="L501" s="17" t="str"/>
      <x:c r="M501" s="17" t="str">
        <x:v>PENDING WHOLE-VIDEO REVIEW</x:v>
      </x:c>
      <x:c r="N501" s="15" t="n">
        <x:v>593</x:v>
      </x:c>
      <x:c r="O501" s="15" t="n">
        <x:v>3665</x:v>
      </x:c>
      <x:c r="P501" s="15" t="n">
        <x:v>1045</x:v>
      </x:c>
      <x:c r="Q501" s="13" t="str">
        <x:v>NO_LARGE_TAIL_GAP</x:v>
      </x:c>
      <x:c r="R501" s="13" t="str"/>
      <x:c r="S501" s="16" t="n">
        <x:v>0</x:v>
      </x:c>
      <x:c r="T501" s="13" t="str">
        <x:v>f81971220cbfb0cefcf92c7cbaf708961d694c64434aa67798f78310676f9767</x:v>
      </x:c>
    </x:row>
    <x:row r="502" ht="15" hidden="0" customHeight="1">
      <x:c r="A502" s="13" t="str">
        <x:v>iPbgOHHSq-o</x:v>
      </x:c>
      <x:c r="B502" s="13" t="str">
        <x:v>Inflation Rising | Best Stocks to Buy Now</x:v>
      </x:c>
      <x:c r="C502" s="14" t="d">
        <x:v>2022-04-12T00:00:00.000Z</x:v>
      </x:c>
      <x:c r="D502" s="18" t="e">
        <x:f>HYPERLINK("https://www.youtube.com/watch?v=iPbgOHHSq-o","Watch video")</x:f>
        <x:v>HYPERLINK is not implemented. linkLocation=https://www.youtube.com/watch?v=iPbgOHHSq-o, friendlyName=Watch video</x:v>
      </x:c>
      <x:c r="E502" s="18" t="e">
        <x:f>HYPERLINK("transcripts/iPbgOHHSq-o.html","Complete transcript")</x:f>
        <x:v>HYPERLINK is not implemented. linkLocation=transcripts/iPbgOHHSq-o.html, friendlyName=Complete transcript</x:v>
      </x:c>
      <x:c r="F502" s="13" t="str">
        <x:v>PETE_EXPLICIT</x:v>
      </x:c>
      <x:c r="G502" s="17" t="str">
        <x:v>UNREVIEWED</x:v>
      </x:c>
      <x:c r="H502" s="17" t="str"/>
      <x:c r="I502" s="17" t="str"/>
      <x:c r="J502" s="17" t="str"/>
      <x:c r="K502" s="17" t="str"/>
      <x:c r="L502" s="17" t="str"/>
      <x:c r="M502" s="17" t="str">
        <x:v>PENDING WHOLE-VIDEO REVIEW</x:v>
      </x:c>
      <x:c r="N502" s="15" t="n">
        <x:v>372</x:v>
      </x:c>
      <x:c r="O502" s="15" t="n">
        <x:v>2395</x:v>
      </x:c>
      <x:c r="P502" s="15" t="n">
        <x:v>744</x:v>
      </x:c>
      <x:c r="Q502" s="13" t="str">
        <x:v>NO_LARGE_TAIL_GAP</x:v>
      </x:c>
      <x:c r="R502" s="13" t="str"/>
      <x:c r="S502" s="16" t="n">
        <x:v>0</x:v>
      </x:c>
      <x:c r="T502" s="13" t="str">
        <x:v>eb38a96096d3273370a84b74fd63b7cb44b0737ac3c8d38077984a0903cb2daf</x:v>
      </x:c>
    </x:row>
    <x:row r="503" ht="15" hidden="0" customHeight="1">
      <x:c r="A503" s="13" t="str">
        <x:v>iQ1ZBgJLqIw</x:v>
      </x:c>
      <x:c r="B503" s="13" t="str">
        <x:v>VWAP vs Price Action | Which Wins?</x:v>
      </x:c>
      <x:c r="C503" s="14" t="d">
        <x:v>2026-05-06T00:00:00.000Z</x:v>
      </x:c>
      <x:c r="D503" s="18" t="e">
        <x:f>HYPERLINK("https://www.youtube.com/watch?v=iQ1ZBgJLqIw","Watch video")</x:f>
        <x:v>HYPERLINK is not implemented. linkLocation=https://www.youtube.com/watch?v=iQ1ZBgJLqIw, friendlyName=Watch video</x:v>
      </x:c>
      <x:c r="E503" s="18" t="e">
        <x:f>HYPERLINK("transcripts/iQ1ZBgJLqIw.html","Complete transcript")</x:f>
        <x:v>HYPERLINK is not implemented. linkLocation=transcripts/iQ1ZBgJLqIw.html, friendlyName=Complete transcript</x:v>
      </x:c>
      <x:c r="F503" s="13" t="str">
        <x:v>UNKNOWN_REQUIRES_REVIEW</x:v>
      </x:c>
      <x:c r="G503" s="17" t="str">
        <x:v>UNREVIEWED</x:v>
      </x:c>
      <x:c r="H503" s="17" t="str"/>
      <x:c r="I503" s="17" t="str"/>
      <x:c r="J503" s="17" t="str"/>
      <x:c r="K503" s="17" t="str"/>
      <x:c r="L503" s="17" t="str"/>
      <x:c r="M503" s="17" t="str">
        <x:v>PENDING WHOLE-VIDEO REVIEW</x:v>
      </x:c>
      <x:c r="N503" s="15" t="n">
        <x:v>271</x:v>
      </x:c>
      <x:c r="O503" s="15" t="n">
        <x:v>1664</x:v>
      </x:c>
      <x:c r="P503" s="15" t="n">
        <x:v>552</x:v>
      </x:c>
      <x:c r="Q503" s="13" t="str">
        <x:v>NO_LARGE_TAIL_GAP</x:v>
      </x:c>
      <x:c r="R503" s="13" t="str"/>
      <x:c r="S503" s="16" t="n">
        <x:v>0</x:v>
      </x:c>
      <x:c r="T503" s="13" t="str">
        <x:v>350abdb4eccd302b662e82d669f6c3a6de1f524b45cd233672cb22d680cdf9a9</x:v>
      </x:c>
    </x:row>
    <x:row r="504" ht="15" hidden="0" customHeight="1">
      <x:c r="A504" s="13" t="str">
        <x:v>iQKPmH9qlsk</x:v>
      </x:c>
      <x:c r="B504" s="13" t="str">
        <x:v>3: Risk Management for Trading Stocks</x:v>
      </x:c>
      <x:c r="C504" s="14" t="d">
        <x:v>2022-11-01T00:00:00.000Z</x:v>
      </x:c>
      <x:c r="D504" s="18" t="e">
        <x:f>HYPERLINK("https://www.youtube.com/watch?v=iQKPmH9qlsk","Watch video")</x:f>
        <x:v>HYPERLINK is not implemented. linkLocation=https://www.youtube.com/watch?v=iQKPmH9qlsk, friendlyName=Watch video</x:v>
      </x:c>
      <x:c r="E504" s="18" t="e">
        <x:f>HYPERLINK("transcripts/iQKPmH9qlsk.html","Complete transcript")</x:f>
        <x:v>HYPERLINK is not implemented. linkLocation=transcripts/iQKPmH9qlsk.html, friendlyName=Complete transcript</x:v>
      </x:c>
      <x:c r="F504" s="13" t="str">
        <x:v>UNKNOWN_REQUIRES_REVIEW</x:v>
      </x:c>
      <x:c r="G504" s="17" t="str">
        <x:v>UNREVIEWED</x:v>
      </x:c>
      <x:c r="H504" s="17" t="str"/>
      <x:c r="I504" s="17" t="str"/>
      <x:c r="J504" s="17" t="str"/>
      <x:c r="K504" s="17" t="str"/>
      <x:c r="L504" s="17" t="str"/>
      <x:c r="M504" s="17" t="str">
        <x:v>PENDING WHOLE-VIDEO REVIEW</x:v>
      </x:c>
      <x:c r="N504" s="15" t="n">
        <x:v>105</x:v>
      </x:c>
      <x:c r="O504" s="15" t="n">
        <x:v>671</x:v>
      </x:c>
      <x:c r="P504" s="15" t="n">
        <x:v>226</x:v>
      </x:c>
      <x:c r="Q504" s="13" t="str">
        <x:v>NO_LARGE_TAIL_GAP</x:v>
      </x:c>
      <x:c r="R504" s="13" t="str"/>
      <x:c r="S504" s="16" t="n">
        <x:v>0</x:v>
      </x:c>
      <x:c r="T504" s="13" t="str">
        <x:v>90c5ebae932c3dcb50eda6ef569f73278e3de595e3f430ba3963406c7ee44730</x:v>
      </x:c>
    </x:row>
    <x:row r="505" ht="15" hidden="0" customHeight="1">
      <x:c r="A505" s="13" t="str">
        <x:v>ia_sIMmFILg</x:v>
      </x:c>
      <x:c r="B505" s="13" t="str">
        <x:v>Trading Education: How to Hedge Longs Versus Shorts</x:v>
      </x:c>
      <x:c r="C505" s="14" t="d">
        <x:v>2022-04-26T00:00:00.000Z</x:v>
      </x:c>
      <x:c r="D505" s="18" t="e">
        <x:f>HYPERLINK("https://www.youtube.com/watch?v=ia_sIMmFILg","Watch video")</x:f>
        <x:v>HYPERLINK is not implemented. linkLocation=https://www.youtube.com/watch?v=ia_sIMmFILg, friendlyName=Watch video</x:v>
      </x:c>
      <x:c r="E505" s="18" t="e">
        <x:f>HYPERLINK("transcripts/ia_sIMmFILg.html","Complete transcript")</x:f>
        <x:v>HYPERLINK is not implemented. linkLocation=transcripts/ia_sIMmFILg.html, friendlyName=Complete transcript</x:v>
      </x:c>
      <x:c r="F505" s="13" t="str">
        <x:v>PETE_EXPLICIT</x:v>
      </x:c>
      <x:c r="G505" s="17" t="str">
        <x:v>UNREVIEWED</x:v>
      </x:c>
      <x:c r="H505" s="17" t="str"/>
      <x:c r="I505" s="17" t="str"/>
      <x:c r="J505" s="17" t="str"/>
      <x:c r="K505" s="17" t="str"/>
      <x:c r="L505" s="17" t="str"/>
      <x:c r="M505" s="17" t="str">
        <x:v>PENDING WHOLE-VIDEO REVIEW</x:v>
      </x:c>
      <x:c r="N505" s="15" t="n">
        <x:v>283</x:v>
      </x:c>
      <x:c r="O505" s="15" t="n">
        <x:v>1709</x:v>
      </x:c>
      <x:c r="P505" s="15" t="n">
        <x:v>610</x:v>
      </x:c>
      <x:c r="Q505" s="13" t="str">
        <x:v>NO_LARGE_TAIL_GAP</x:v>
      </x:c>
      <x:c r="R505" s="13" t="str"/>
      <x:c r="S505" s="16" t="n">
        <x:v>0</x:v>
      </x:c>
      <x:c r="T505" s="13" t="str">
        <x:v>ac0c9544a928c1a9af53121b43a5d91d1f85256b4db50039d74767b89bbe4f1b</x:v>
      </x:c>
    </x:row>
    <x:row r="506" ht="15" hidden="0" customHeight="1">
      <x:c r="A506" s="13" t="str">
        <x:v>ifmpKLlUS1I</x:v>
      </x:c>
      <x:c r="B506" s="13" t="str">
        <x:v>Best Stock Picks Today | WKHS Swing Trade 1-5-21</x:v>
      </x:c>
      <x:c r="C506" s="14" t="d">
        <x:v>2021-01-05T00:00:00.000Z</x:v>
      </x:c>
      <x:c r="D506" s="18" t="e">
        <x:f>HYPERLINK("https://www.youtube.com/watch?v=ifmpKLlUS1I","Watch video")</x:f>
        <x:v>HYPERLINK is not implemented. linkLocation=https://www.youtube.com/watch?v=ifmpKLlUS1I, friendlyName=Watch video</x:v>
      </x:c>
      <x:c r="E506" s="18" t="e">
        <x:f>HYPERLINK("transcripts/ifmpKLlUS1I.html","Complete transcript")</x:f>
        <x:v>HYPERLINK is not implemented. linkLocation=transcripts/ifmpKLlUS1I.html, friendlyName=Complete transcript</x:v>
      </x:c>
      <x:c r="F506" s="13" t="str">
        <x:v>UNKNOWN_REQUIRES_REVIEW</x:v>
      </x:c>
      <x:c r="G506" s="17" t="str">
        <x:v>UNREVIEWED</x:v>
      </x:c>
      <x:c r="H506" s="17" t="str"/>
      <x:c r="I506" s="17" t="str"/>
      <x:c r="J506" s="17" t="str"/>
      <x:c r="K506" s="17" t="str"/>
      <x:c r="L506" s="17" t="str"/>
      <x:c r="M506" s="17" t="str">
        <x:v>PENDING WHOLE-VIDEO REVIEW</x:v>
      </x:c>
      <x:c r="N506" s="15" t="n">
        <x:v>110</x:v>
      </x:c>
      <x:c r="O506" s="15" t="n">
        <x:v>3306</x:v>
      </x:c>
      <x:c r="P506" s="15" t="n">
        <x:v>903</x:v>
      </x:c>
      <x:c r="Q506" s="13" t="str">
        <x:v>NO_LARGE_TAIL_GAP</x:v>
      </x:c>
      <x:c r="R506" s="13" t="str"/>
      <x:c r="S506" s="16" t="n">
        <x:v>0</x:v>
      </x:c>
      <x:c r="T506" s="13" t="str">
        <x:v>be6f6cfb31129dd9ebf8d4a84875620ac892e7a8b4706dbbc50707d82f13cc41</x:v>
      </x:c>
    </x:row>
    <x:row r="507" ht="15" hidden="0" customHeight="1">
      <x:c r="A507" s="13" t="str">
        <x:v>ipIxIrdDDks</x:v>
      </x:c>
      <x:c r="B507" s="13" t="str">
        <x:v>Building a Complete Options Trade From Idea to Execution</x:v>
      </x:c>
      <x:c r="C507" s="14" t="d">
        <x:v>2026-03-27T00:00:00.000Z</x:v>
      </x:c>
      <x:c r="D507" s="18" t="e">
        <x:f>HYPERLINK("https://www.youtube.com/watch?v=ipIxIrdDDks","Watch video")</x:f>
        <x:v>HYPERLINK is not implemented. linkLocation=https://www.youtube.com/watch?v=ipIxIrdDDks, friendlyName=Watch video</x:v>
      </x:c>
      <x:c r="E507" s="18" t="e">
        <x:f>HYPERLINK("transcripts/ipIxIrdDDks.html","Complete transcript")</x:f>
        <x:v>HYPERLINK is not implemented. linkLocation=transcripts/ipIxIrdDDks.html, friendlyName=Complete transcript</x:v>
      </x:c>
      <x:c r="F507" s="13" t="str">
        <x:v>UNKNOWN_REQUIRES_REVIEW</x:v>
      </x:c>
      <x:c r="G507" s="17" t="str">
        <x:v>UNREVIEWED</x:v>
      </x:c>
      <x:c r="H507" s="17" t="str"/>
      <x:c r="I507" s="17" t="str"/>
      <x:c r="J507" s="17" t="str"/>
      <x:c r="K507" s="17" t="str"/>
      <x:c r="L507" s="17" t="str"/>
      <x:c r="M507" s="17" t="str">
        <x:v>PENDING WHOLE-VIDEO REVIEW</x:v>
      </x:c>
      <x:c r="N507" s="15" t="n">
        <x:v>315</x:v>
      </x:c>
      <x:c r="O507" s="15" t="n">
        <x:v>2337</x:v>
      </x:c>
      <x:c r="P507" s="15" t="n">
        <x:v>774</x:v>
      </x:c>
      <x:c r="Q507" s="13" t="str">
        <x:v>NO_LARGE_TAIL_GAP</x:v>
      </x:c>
      <x:c r="R507" s="13" t="str"/>
      <x:c r="S507" s="16" t="n">
        <x:v>0</x:v>
      </x:c>
      <x:c r="T507" s="13" t="str">
        <x:v>81b9cdad69ae7142157505c763f017017ce6162aae3b72b47162b059d601c6a9</x:v>
      </x:c>
    </x:row>
    <x:row r="508" ht="15" hidden="0" customHeight="1">
      <x:c r="A508" s="13" t="str">
        <x:v>iv5G12Uss1A</x:v>
      </x:c>
      <x:c r="B508" s="13" t="str">
        <x:v>Do Day Traders Watch Their P&amp;L? | Stocks For Breakfast | Coaching Call Replay</x:v>
      </x:c>
      <x:c r="C508" s="14" t="d">
        <x:v>2020-12-09T00:00:00.000Z</x:v>
      </x:c>
      <x:c r="D508" s="18" t="e">
        <x:f>HYPERLINK("https://www.youtube.com/watch?v=iv5G12Uss1A","Watch video")</x:f>
        <x:v>HYPERLINK is not implemented. linkLocation=https://www.youtube.com/watch?v=iv5G12Uss1A, friendlyName=Watch video</x:v>
      </x:c>
      <x:c r="E508" s="18" t="e">
        <x:f>HYPERLINK("transcripts/iv5G12Uss1A.html","Complete transcript")</x:f>
        <x:v>HYPERLINK is not implemented. linkLocation=transcripts/iv5G12Uss1A.html, friendlyName=Complete transcript</x:v>
      </x:c>
      <x:c r="F508" s="13" t="str">
        <x:v>PETE_EXPLICIT</x:v>
      </x:c>
      <x:c r="G508" s="17" t="str">
        <x:v>UNREVIEWED</x:v>
      </x:c>
      <x:c r="H508" s="17" t="str"/>
      <x:c r="I508" s="17" t="str"/>
      <x:c r="J508" s="17" t="str"/>
      <x:c r="K508" s="17" t="str"/>
      <x:c r="L508" s="17" t="str"/>
      <x:c r="M508" s="17" t="str">
        <x:v>PENDING WHOLE-VIDEO REVIEW</x:v>
      </x:c>
      <x:c r="N508" s="15" t="n">
        <x:v>707</x:v>
      </x:c>
      <x:c r="O508" s="15" t="n">
        <x:v>5358</x:v>
      </x:c>
      <x:c r="P508" s="15" t="n">
        <x:v>1565</x:v>
      </x:c>
      <x:c r="Q508" s="13" t="str">
        <x:v>NO_LARGE_TAIL_GAP</x:v>
      </x:c>
      <x:c r="R508" s="13" t="str"/>
      <x:c r="S508" s="16" t="n">
        <x:v>0</x:v>
      </x:c>
      <x:c r="T508" s="13" t="str">
        <x:v>dcb187b98b66be4ccfbd930c77b8895b24af886cb0e6d7b7702001c496723584</x:v>
      </x:c>
    </x:row>
    <x:row r="509" ht="15" hidden="0" customHeight="1">
      <x:c r="A509" s="13" t="str">
        <x:v>j89Dg4Whrp4</x:v>
      </x:c>
      <x:c r="B509" s="13" t="str">
        <x:v>IBM Earnings Report | 4-20-20 Stocks For Breakfast</x:v>
      </x:c>
      <x:c r="C509" s="14" t="d">
        <x:v>2020-04-20T00:00:00.000Z</x:v>
      </x:c>
      <x:c r="D509" s="18" t="e">
        <x:f>HYPERLINK("https://www.youtube.com/watch?v=j89Dg4Whrp4","Watch video")</x:f>
        <x:v>HYPERLINK is not implemented. linkLocation=https://www.youtube.com/watch?v=j89Dg4Whrp4, friendlyName=Watch video</x:v>
      </x:c>
      <x:c r="E509" s="18" t="e">
        <x:f>HYPERLINK("transcripts/j89Dg4Whrp4.html","Complete transcript")</x:f>
        <x:v>HYPERLINK is not implemented. linkLocation=transcripts/j89Dg4Whrp4.html, friendlyName=Complete transcript</x:v>
      </x:c>
      <x:c r="F509" s="13" t="str">
        <x:v>UNKNOWN_REQUIRES_REVIEW</x:v>
      </x:c>
      <x:c r="G509" s="17" t="str">
        <x:v>UNREVIEWED</x:v>
      </x:c>
      <x:c r="H509" s="17" t="str"/>
      <x:c r="I509" s="17" t="str"/>
      <x:c r="J509" s="17" t="str"/>
      <x:c r="K509" s="17" t="str"/>
      <x:c r="L509" s="17" t="str"/>
      <x:c r="M509" s="17" t="str">
        <x:v>PENDING WHOLE-VIDEO REVIEW</x:v>
      </x:c>
      <x:c r="N509" s="15" t="n">
        <x:v>620</x:v>
      </x:c>
      <x:c r="O509" s="15" t="n">
        <x:v>4527</x:v>
      </x:c>
      <x:c r="P509" s="15" t="n">
        <x:v>1361</x:v>
      </x:c>
      <x:c r="Q509" s="13" t="str">
        <x:v>NO_LARGE_TAIL_GAP</x:v>
      </x:c>
      <x:c r="R509" s="13" t="str"/>
      <x:c r="S509" s="16" t="n">
        <x:v>0</x:v>
      </x:c>
      <x:c r="T509" s="13" t="str">
        <x:v>7a0f6bc64f095d33384c82ab05a5239c695d9b9f2d875af3fd751fc4708fa77a</x:v>
      </x:c>
    </x:row>
    <x:row r="510" ht="15" hidden="0" customHeight="1">
      <x:c r="A510" s="13" t="str">
        <x:v>jOKFquHre2s</x:v>
      </x:c>
      <x:c r="B510" s="13" t="str">
        <x:v>Should You Sell Naked Options as A New Trader?</x:v>
      </x:c>
      <x:c r="C510" s="14" t="d">
        <x:v>2024-07-09T00:00:00.000Z</x:v>
      </x:c>
      <x:c r="D510" s="18" t="e">
        <x:f>HYPERLINK("https://www.youtube.com/watch?v=jOKFquHre2s","Watch video")</x:f>
        <x:v>HYPERLINK is not implemented. linkLocation=https://www.youtube.com/watch?v=jOKFquHre2s, friendlyName=Watch video</x:v>
      </x:c>
      <x:c r="E510" s="18" t="e">
        <x:f>HYPERLINK("transcripts/jOKFquHre2s.html","Complete transcript")</x:f>
        <x:v>HYPERLINK is not implemented. linkLocation=transcripts/jOKFquHre2s.html, friendlyName=Complete transcript</x:v>
      </x:c>
      <x:c r="F510" s="13" t="str">
        <x:v>UNKNOWN_REQUIRES_REVIEW</x:v>
      </x:c>
      <x:c r="G510" s="17" t="str">
        <x:v>Conversational Q&amp;A with teaching</x:v>
      </x:c>
      <x:c r="H510" s="17" t="str">
        <x:v>Naked options and defined-risk alternatives</x:v>
      </x:c>
      <x:c r="I510" s="17" t="str">
        <x:v>Responds to a beginner question by discouraging naked strategies and illustrating a credit-spread alternative.</x:v>
      </x:c>
      <x:c r="J510" s="17" t="str">
        <x:v>Options; risk; capital commitment</x:v>
      </x:c>
      <x:c r="K510" s="17" t="str">
        <x:v>Preference/warning illustrated using a Tesla put example, not a complete options course.</x:v>
      </x:c>
      <x:c r="L510" s="17" t="str">
        <x:v>Speaker unresolved; preserve call-versus-put distinctions and illustrative numbers.</x:v>
      </x:c>
      <x:c r="M510" s="17" t="str">
        <x:v>WHOLE TRANSCRIPT READ — visuals pending</x:v>
      </x:c>
      <x:c r="N510" s="15" t="n">
        <x:v>32</x:v>
      </x:c>
      <x:c r="O510" s="15" t="n">
        <x:v>231</x:v>
      </x:c>
      <x:c r="P510" s="15" t="n">
        <x:v>80</x:v>
      </x:c>
      <x:c r="Q510" s="13" t="str">
        <x:v>NO_LARGE_TAIL_GAP</x:v>
      </x:c>
      <x:c r="R510" s="13" t="str"/>
      <x:c r="S510" s="16" t="n">
        <x:v>2</x:v>
      </x:c>
      <x:c r="T510" s="13" t="str">
        <x:v>4cd64ccc9c9df2105ae8fef67f3d34ac0a8653d6b0910462e600bb03e1015aa0</x:v>
      </x:c>
    </x:row>
    <x:row r="511" ht="15" hidden="0" customHeight="1">
      <x:c r="A511" s="13" t="str">
        <x:v>jOzWLUZsbDg</x:v>
      </x:c>
      <x:c r="B511" s="13" t="str">
        <x:v>SPCE Swing Trade | Best Stock Picks Today 11-16-20</x:v>
      </x:c>
      <x:c r="C511" s="14" t="d">
        <x:v>2020-11-16T00:00:00.000Z</x:v>
      </x:c>
      <x:c r="D511" s="18" t="e">
        <x:f>HYPERLINK("https://www.youtube.com/watch?v=jOzWLUZsbDg","Watch video")</x:f>
        <x:v>HYPERLINK is not implemented. linkLocation=https://www.youtube.com/watch?v=jOzWLUZsbDg, friendlyName=Watch video</x:v>
      </x:c>
      <x:c r="E511" s="18" t="e">
        <x:f>HYPERLINK("transcripts/jOzWLUZsbDg.html","Complete transcript")</x:f>
        <x:v>HYPERLINK is not implemented. linkLocation=transcripts/jOzWLUZsbDg.html, friendlyName=Complete transcript</x:v>
      </x:c>
      <x:c r="F511" s="13" t="str">
        <x:v>PETE_EXPLICIT</x:v>
      </x:c>
      <x:c r="G511" s="17" t="str">
        <x:v>UNREVIEWED</x:v>
      </x:c>
      <x:c r="H511" s="17" t="str"/>
      <x:c r="I511" s="17" t="str"/>
      <x:c r="J511" s="17" t="str"/>
      <x:c r="K511" s="17" t="str"/>
      <x:c r="L511" s="17" t="str"/>
      <x:c r="M511" s="17" t="str">
        <x:v>PENDING WHOLE-VIDEO REVIEW</x:v>
      </x:c>
      <x:c r="N511" s="15" t="n">
        <x:v>523</x:v>
      </x:c>
      <x:c r="O511" s="15" t="n">
        <x:v>3217</x:v>
      </x:c>
      <x:c r="P511" s="15" t="n">
        <x:v>910</x:v>
      </x:c>
      <x:c r="Q511" s="13" t="str">
        <x:v>NO_LARGE_TAIL_GAP</x:v>
      </x:c>
      <x:c r="R511" s="13" t="str"/>
      <x:c r="S511" s="16" t="n">
        <x:v>0</x:v>
      </x:c>
      <x:c r="T511" s="13" t="str">
        <x:v>0b0cbfcbb38516a378690add4a6a17fdbbaa98cfca742acc912dfd174428bef4</x:v>
      </x:c>
    </x:row>
    <x:row r="512" ht="15" hidden="0" customHeight="1">
      <x:c r="A512" s="13" t="str">
        <x:v>jRkolxa3V2c</x:v>
      </x:c>
      <x:c r="B512" s="13" t="str">
        <x:v>Mentor Minutes: How to Set up High-Probability Trades</x:v>
      </x:c>
      <x:c r="C512" s="14" t="d">
        <x:v>2016-04-04T00:00:00.000Z</x:v>
      </x:c>
      <x:c r="D512" s="18" t="e">
        <x:f>HYPERLINK("https://www.youtube.com/watch?v=jRkolxa3V2c","Watch video")</x:f>
        <x:v>HYPERLINK is not implemented. linkLocation=https://www.youtube.com/watch?v=jRkolxa3V2c, friendlyName=Watch video</x:v>
      </x:c>
      <x:c r="E512" s="18" t="e">
        <x:f>HYPERLINK("transcripts/jRkolxa3V2c.html","Complete transcript")</x:f>
        <x:v>HYPERLINK is not implemented. linkLocation=transcripts/jRkolxa3V2c.html, friendlyName=Complete transcript</x:v>
      </x:c>
      <x:c r="F512" s="13" t="str">
        <x:v>UNKNOWN_REQUIRES_REVIEW</x:v>
      </x:c>
      <x:c r="G512" s="17" t="str">
        <x:v>UNREVIEWED</x:v>
      </x:c>
      <x:c r="H512" s="17" t="str"/>
      <x:c r="I512" s="17" t="str"/>
      <x:c r="J512" s="17" t="str"/>
      <x:c r="K512" s="17" t="str"/>
      <x:c r="L512" s="17" t="str"/>
      <x:c r="M512" s="17" t="str">
        <x:v>PENDING WHOLE-VIDEO REVIEW</x:v>
      </x:c>
      <x:c r="N512" s="15" t="n">
        <x:v>364</x:v>
      </x:c>
      <x:c r="O512" s="15" t="n">
        <x:v>2650</x:v>
      </x:c>
      <x:c r="P512" s="15" t="n">
        <x:v>840</x:v>
      </x:c>
      <x:c r="Q512" s="13" t="str">
        <x:v>NO_LARGE_TAIL_GAP</x:v>
      </x:c>
      <x:c r="R512" s="13" t="str"/>
      <x:c r="S512" s="16" t="n">
        <x:v>0</x:v>
      </x:c>
      <x:c r="T512" s="13" t="str">
        <x:v>fb6fa737e3931a89374463ee005c19712a80fe68eef862ddca2770b751b9add1</x:v>
      </x:c>
    </x:row>
    <x:row r="513" ht="15" hidden="0" customHeight="1">
      <x:c r="A513" s="13" t="str">
        <x:v>jU9-De9_9GM</x:v>
      </x:c>
      <x:c r="B513" s="13" t="str">
        <x:v>Buy Stop Orders | Stocks for Breakfast</x:v>
      </x:c>
      <x:c r="C513" s="14" t="d">
        <x:v>2020-11-20T00:00:00.000Z</x:v>
      </x:c>
      <x:c r="D513" s="18" t="e">
        <x:f>HYPERLINK("https://www.youtube.com/watch?v=jU9-De9_9GM","Watch video")</x:f>
        <x:v>HYPERLINK is not implemented. linkLocation=https://www.youtube.com/watch?v=jU9-De9_9GM, friendlyName=Watch video</x:v>
      </x:c>
      <x:c r="E513" s="18" t="e">
        <x:f>HYPERLINK("transcripts/jU9-De9_9GM.html","Complete transcript")</x:f>
        <x:v>HYPERLINK is not implemented. linkLocation=transcripts/jU9-De9_9GM.html, friendlyName=Complete transcript</x:v>
      </x:c>
      <x:c r="F513" s="13" t="str">
        <x:v>PETE_EXPLICIT</x:v>
      </x:c>
      <x:c r="G513" s="17" t="str">
        <x:v>UNREVIEWED</x:v>
      </x:c>
      <x:c r="H513" s="17" t="str"/>
      <x:c r="I513" s="17" t="str"/>
      <x:c r="J513" s="17" t="str"/>
      <x:c r="K513" s="17" t="str"/>
      <x:c r="L513" s="17" t="str"/>
      <x:c r="M513" s="17" t="str">
        <x:v>PENDING WHOLE-VIDEO REVIEW</x:v>
      </x:c>
      <x:c r="N513" s="15" t="n">
        <x:v>288</x:v>
      </x:c>
      <x:c r="O513" s="15" t="n">
        <x:v>1880</x:v>
      </x:c>
      <x:c r="P513" s="15" t="n">
        <x:v>499</x:v>
      </x:c>
      <x:c r="Q513" s="13" t="str">
        <x:v>NO_LARGE_TAIL_GAP</x:v>
      </x:c>
      <x:c r="R513" s="13" t="str"/>
      <x:c r="S513" s="16" t="n">
        <x:v>0</x:v>
      </x:c>
      <x:c r="T513" s="13" t="str">
        <x:v>003ea19b20bb71b34533acd83e23badcdc55dd11ce77e24beb6dcef91f6f4ca2</x:v>
      </x:c>
    </x:row>
    <x:row r="514" ht="15" hidden="0" customHeight="1">
      <x:c r="A514" s="13" t="str">
        <x:v>jaAYIA-HBxw</x:v>
      </x:c>
      <x:c r="B514" s="13" t="str">
        <x:v>Oil Stocks to Buy 4-22-20 | Stocks for Breakfast</x:v>
      </x:c>
      <x:c r="C514" s="14" t="d">
        <x:v>2020-04-22T00:00:00.000Z</x:v>
      </x:c>
      <x:c r="D514" s="18" t="e">
        <x:f>HYPERLINK("https://www.youtube.com/watch?v=jaAYIA-HBxw","Watch video")</x:f>
        <x:v>HYPERLINK is not implemented. linkLocation=https://www.youtube.com/watch?v=jaAYIA-HBxw, friendlyName=Watch video</x:v>
      </x:c>
      <x:c r="E514" s="18" t="e">
        <x:f>HYPERLINK("transcripts/jaAYIA-HBxw.html","Complete transcript")</x:f>
        <x:v>HYPERLINK is not implemented. linkLocation=transcripts/jaAYIA-HBxw.html, friendlyName=Complete transcript</x:v>
      </x:c>
      <x:c r="F514" s="13" t="str">
        <x:v>UNKNOWN_REQUIRES_REVIEW</x:v>
      </x:c>
      <x:c r="G514" s="17" t="str">
        <x:v>UNREVIEWED</x:v>
      </x:c>
      <x:c r="H514" s="17" t="str"/>
      <x:c r="I514" s="17" t="str"/>
      <x:c r="J514" s="17" t="str"/>
      <x:c r="K514" s="17" t="str"/>
      <x:c r="L514" s="17" t="str"/>
      <x:c r="M514" s="17" t="str">
        <x:v>PENDING WHOLE-VIDEO REVIEW</x:v>
      </x:c>
      <x:c r="N514" s="15" t="n">
        <x:v>762</x:v>
      </x:c>
      <x:c r="O514" s="15" t="n">
        <x:v>5446</x:v>
      </x:c>
      <x:c r="P514" s="15" t="n">
        <x:v>1736</x:v>
      </x:c>
      <x:c r="Q514" s="13" t="str">
        <x:v>NO_LARGE_TAIL_GAP</x:v>
      </x:c>
      <x:c r="R514" s="13" t="str"/>
      <x:c r="S514" s="16" t="n">
        <x:v>0</x:v>
      </x:c>
      <x:c r="T514" s="13" t="str">
        <x:v>3cd0d9662e6f76cf4db9acb5c6a796075c564ab89d09e42885570b80530999ff</x:v>
      </x:c>
    </x:row>
    <x:row r="515" ht="15" hidden="0" customHeight="1">
      <x:c r="A515" s="13" t="str">
        <x:v>jhC3h8YZ5sw</x:v>
      </x:c>
      <x:c r="B515" s="13" t="str">
        <x:v>Day Trading Stock Picks | 3 18 20 Stocks for Breakfast</x:v>
      </x:c>
      <x:c r="C515" s="14" t="d">
        <x:v>2020-03-18T00:00:00.000Z</x:v>
      </x:c>
      <x:c r="D515" s="18" t="e">
        <x:f>HYPERLINK("https://www.youtube.com/watch?v=jhC3h8YZ5sw","Watch video")</x:f>
        <x:v>HYPERLINK is not implemented. linkLocation=https://www.youtube.com/watch?v=jhC3h8YZ5sw, friendlyName=Watch video</x:v>
      </x:c>
      <x:c r="E515" s="18" t="e">
        <x:f>HYPERLINK("transcripts/jhC3h8YZ5sw.html","Complete transcript")</x:f>
        <x:v>HYPERLINK is not implemented. linkLocation=transcripts/jhC3h8YZ5sw.html, friendlyName=Complete transcript</x:v>
      </x:c>
      <x:c r="F515" s="13" t="str">
        <x:v>UNKNOWN_REQUIRES_REVIEW</x:v>
      </x:c>
      <x:c r="G515" s="17" t="str">
        <x:v>UNREVIEWED</x:v>
      </x:c>
      <x:c r="H515" s="17" t="str"/>
      <x:c r="I515" s="17" t="str"/>
      <x:c r="J515" s="17" t="str"/>
      <x:c r="K515" s="17" t="str"/>
      <x:c r="L515" s="17" t="str"/>
      <x:c r="M515" s="17" t="str">
        <x:v>PENDING WHOLE-VIDEO REVIEW</x:v>
      </x:c>
      <x:c r="N515" s="15" t="n">
        <x:v>546</x:v>
      </x:c>
      <x:c r="O515" s="15" t="n">
        <x:v>3930</x:v>
      </x:c>
      <x:c r="P515" s="15" t="n">
        <x:v>1220</x:v>
      </x:c>
      <x:c r="Q515" s="13" t="str">
        <x:v>NO_LARGE_TAIL_GAP</x:v>
      </x:c>
      <x:c r="R515" s="13" t="str"/>
      <x:c r="S515" s="16" t="n">
        <x:v>0</x:v>
      </x:c>
      <x:c r="T515" s="13" t="str">
        <x:v>6593dd0662c24f88297f307a02237aa6478ab793cac409b04869e00702b25237</x:v>
      </x:c>
    </x:row>
    <x:row r="516" ht="15" hidden="0" customHeight="1">
      <x:c r="A516" s="13" t="str">
        <x:v>jlRgg0uUI8Q</x:v>
      </x:c>
      <x:c r="B516" s="13" t="str">
        <x:v>SPCE Stock Space X 6 1 20 Best Stock Picks Today</x:v>
      </x:c>
      <x:c r="C516" s="14" t="d">
        <x:v>2020-06-01T00:00:00.000Z</x:v>
      </x:c>
      <x:c r="D516" s="18" t="e">
        <x:f>HYPERLINK("https://www.youtube.com/watch?v=jlRgg0uUI8Q","Watch video")</x:f>
        <x:v>HYPERLINK is not implemented. linkLocation=https://www.youtube.com/watch?v=jlRgg0uUI8Q, friendlyName=Watch video</x:v>
      </x:c>
      <x:c r="E516" s="18" t="e">
        <x:f>HYPERLINK("transcripts/jlRgg0uUI8Q.html","Complete transcript")</x:f>
        <x:v>HYPERLINK is not implemented. linkLocation=transcripts/jlRgg0uUI8Q.html, friendlyName=Complete transcript</x:v>
      </x:c>
      <x:c r="F516" s="13" t="str">
        <x:v>PETE_EXPLICIT</x:v>
      </x:c>
      <x:c r="G516" s="17" t="str">
        <x:v>UNREVIEWED</x:v>
      </x:c>
      <x:c r="H516" s="17" t="str"/>
      <x:c r="I516" s="17" t="str"/>
      <x:c r="J516" s="17" t="str"/>
      <x:c r="K516" s="17" t="str"/>
      <x:c r="L516" s="17" t="str"/>
      <x:c r="M516" s="17" t="str">
        <x:v>PENDING WHOLE-VIDEO REVIEW</x:v>
      </x:c>
      <x:c r="N516" s="15" t="n">
        <x:v>380</x:v>
      </x:c>
      <x:c r="O516" s="15" t="n">
        <x:v>2791</x:v>
      </x:c>
      <x:c r="P516" s="15" t="n">
        <x:v>799</x:v>
      </x:c>
      <x:c r="Q516" s="13" t="str">
        <x:v>NO_LARGE_TAIL_GAP</x:v>
      </x:c>
      <x:c r="R516" s="13" t="str"/>
      <x:c r="S516" s="16" t="n">
        <x:v>0</x:v>
      </x:c>
      <x:c r="T516" s="13" t="str">
        <x:v>afd9d697c1f03b4034fb74122f55082388bda02c8b896be0718507cd836aa100</x:v>
      </x:c>
    </x:row>
    <x:row r="517" ht="15" hidden="0" customHeight="1">
      <x:c r="A517" s="13" t="str">
        <x:v>jlYCsJimCR0</x:v>
      </x:c>
      <x:c r="B517" s="13" t="str">
        <x:v>SHAK Stock Shake Shack News 6-16-20 | Best Stock Picks Today</x:v>
      </x:c>
      <x:c r="C517" s="14" t="d">
        <x:v>2020-06-16T00:00:00.000Z</x:v>
      </x:c>
      <x:c r="D517" s="18" t="e">
        <x:f>HYPERLINK("https://www.youtube.com/watch?v=jlYCsJimCR0","Watch video")</x:f>
        <x:v>HYPERLINK is not implemented. linkLocation=https://www.youtube.com/watch?v=jlYCsJimCR0, friendlyName=Watch video</x:v>
      </x:c>
      <x:c r="E517" s="18" t="e">
        <x:f>HYPERLINK("transcripts/jlYCsJimCR0.html","Complete transcript")</x:f>
        <x:v>HYPERLINK is not implemented. linkLocation=transcripts/jlYCsJimCR0.html, friendlyName=Complete transcript</x:v>
      </x:c>
      <x:c r="F517" s="13" t="str">
        <x:v>PETE_EXPLICIT</x:v>
      </x:c>
      <x:c r="G517" s="17" t="str">
        <x:v>UNREVIEWED</x:v>
      </x:c>
      <x:c r="H517" s="17" t="str"/>
      <x:c r="I517" s="17" t="str"/>
      <x:c r="J517" s="17" t="str"/>
      <x:c r="K517" s="17" t="str"/>
      <x:c r="L517" s="17" t="str"/>
      <x:c r="M517" s="17" t="str">
        <x:v>PENDING WHOLE-VIDEO REVIEW</x:v>
      </x:c>
      <x:c r="N517" s="15" t="n">
        <x:v>467</x:v>
      </x:c>
      <x:c r="O517" s="15" t="n">
        <x:v>3366</x:v>
      </x:c>
      <x:c r="P517" s="15" t="n">
        <x:v>949</x:v>
      </x:c>
      <x:c r="Q517" s="13" t="str">
        <x:v>NO_LARGE_TAIL_GAP</x:v>
      </x:c>
      <x:c r="R517" s="13" t="str"/>
      <x:c r="S517" s="16" t="n">
        <x:v>0</x:v>
      </x:c>
      <x:c r="T517" s="13" t="str">
        <x:v>2dc33b25909b0aa98a563015358d8c2154a72429578538ce1082369e178af982</x:v>
      </x:c>
    </x:row>
    <x:row r="518" ht="15" hidden="0" customHeight="1">
      <x:c r="A518" s="13" t="str">
        <x:v>jlwV9UJ0b_U</x:v>
      </x:c>
      <x:c r="B518" s="13" t="str">
        <x:v>Stock Market Rally 3 27 20 | Stocks for Breakfast</x:v>
      </x:c>
      <x:c r="C518" s="14" t="d">
        <x:v>2020-03-27T00:00:00.000Z</x:v>
      </x:c>
      <x:c r="D518" s="18" t="e">
        <x:f>HYPERLINK("https://www.youtube.com/watch?v=jlwV9UJ0b_U","Watch video")</x:f>
        <x:v>HYPERLINK is not implemented. linkLocation=https://www.youtube.com/watch?v=jlwV9UJ0b_U, friendlyName=Watch video</x:v>
      </x:c>
      <x:c r="E518" s="18" t="e">
        <x:f>HYPERLINK("transcripts/jlwV9UJ0b_U.html","Complete transcript")</x:f>
        <x:v>HYPERLINK is not implemented. linkLocation=transcripts/jlwV9UJ0b_U.html, friendlyName=Complete transcript</x:v>
      </x:c>
      <x:c r="F518" s="13" t="str">
        <x:v>PETE_EXPLICIT</x:v>
      </x:c>
      <x:c r="G518" s="17" t="str">
        <x:v>UNREVIEWED</x:v>
      </x:c>
      <x:c r="H518" s="17" t="str"/>
      <x:c r="I518" s="17" t="str"/>
      <x:c r="J518" s="17" t="str"/>
      <x:c r="K518" s="17" t="str"/>
      <x:c r="L518" s="17" t="str"/>
      <x:c r="M518" s="17" t="str">
        <x:v>PENDING WHOLE-VIDEO REVIEW</x:v>
      </x:c>
      <x:c r="N518" s="15" t="n">
        <x:v>444</x:v>
      </x:c>
      <x:c r="O518" s="15" t="n">
        <x:v>3233</x:v>
      </x:c>
      <x:c r="P518" s="15" t="n">
        <x:v>984</x:v>
      </x:c>
      <x:c r="Q518" s="13" t="str">
        <x:v>NO_LARGE_TAIL_GAP</x:v>
      </x:c>
      <x:c r="R518" s="13" t="str"/>
      <x:c r="S518" s="16" t="n">
        <x:v>0</x:v>
      </x:c>
      <x:c r="T518" s="13" t="str">
        <x:v>5931a56c469bdc40af618a260175ba46986c960f24e2f3d4c7d99faa3a70e5ec</x:v>
      </x:c>
    </x:row>
    <x:row r="519" ht="15" hidden="0" customHeight="1">
      <x:c r="A519" s="13" t="str">
        <x:v>jnEa6vLu3dU</x:v>
      </x:c>
      <x:c r="B519" s="13" t="str">
        <x:v>Professional Trading Secrets | 5-12-20 Stocks for Breakfast</x:v>
      </x:c>
      <x:c r="C519" s="14" t="d">
        <x:v>2020-05-12T00:00:00.000Z</x:v>
      </x:c>
      <x:c r="D519" s="18" t="e">
        <x:f>HYPERLINK("https://www.youtube.com/watch?v=jnEa6vLu3dU","Watch video")</x:f>
        <x:v>HYPERLINK is not implemented. linkLocation=https://www.youtube.com/watch?v=jnEa6vLu3dU, friendlyName=Watch video</x:v>
      </x:c>
      <x:c r="E519" s="18" t="e">
        <x:f>HYPERLINK("transcripts/jnEa6vLu3dU.html","Complete transcript")</x:f>
        <x:v>HYPERLINK is not implemented. linkLocation=transcripts/jnEa6vLu3dU.html, friendlyName=Complete transcript</x:v>
      </x:c>
      <x:c r="F519" s="13" t="str">
        <x:v>UNKNOWN_REQUIRES_REVIEW</x:v>
      </x:c>
      <x:c r="G519" s="17" t="str">
        <x:v>UNREVIEWED</x:v>
      </x:c>
      <x:c r="H519" s="17" t="str"/>
      <x:c r="I519" s="17" t="str"/>
      <x:c r="J519" s="17" t="str"/>
      <x:c r="K519" s="17" t="str"/>
      <x:c r="L519" s="17" t="str"/>
      <x:c r="M519" s="17" t="str">
        <x:v>PENDING WHOLE-VIDEO REVIEW</x:v>
      </x:c>
      <x:c r="N519" s="15" t="n">
        <x:v>389</x:v>
      </x:c>
      <x:c r="O519" s="15" t="n">
        <x:v>2777</x:v>
      </x:c>
      <x:c r="P519" s="15" t="n">
        <x:v>871</x:v>
      </x:c>
      <x:c r="Q519" s="13" t="str">
        <x:v>NO_LARGE_TAIL_GAP</x:v>
      </x:c>
      <x:c r="R519" s="13" t="str"/>
      <x:c r="S519" s="16" t="n">
        <x:v>0</x:v>
      </x:c>
      <x:c r="T519" s="13" t="str">
        <x:v>9b482c05a727e34c6e4fd3fd91b49fc0d541f48b607ba330f44b1d46c0bf55b1</x:v>
      </x:c>
    </x:row>
    <x:row r="520" ht="15" hidden="0" customHeight="1">
      <x:c r="A520" s="13" t="str">
        <x:v>js_4bhclOcE</x:v>
      </x:c>
      <x:c r="B520" s="13" t="str">
        <x:v>Best Stock Picks 4 1 20 | Stock Market Pause or Reversal?</x:v>
      </x:c>
      <x:c r="C520" s="14" t="d">
        <x:v>2020-03-31T00:00:00.000Z</x:v>
      </x:c>
      <x:c r="D520" s="18" t="e">
        <x:f>HYPERLINK("https://www.youtube.com/watch?v=js_4bhclOcE","Watch video")</x:f>
        <x:v>HYPERLINK is not implemented. linkLocation=https://www.youtube.com/watch?v=js_4bhclOcE, friendlyName=Watch video</x:v>
      </x:c>
      <x:c r="E520" s="18" t="e">
        <x:f>HYPERLINK("transcripts/js_4bhclOcE.html","Complete transcript")</x:f>
        <x:v>HYPERLINK is not implemented. linkLocation=transcripts/js_4bhclOcE.html, friendlyName=Complete transcript</x:v>
      </x:c>
      <x:c r="F520" s="13" t="str">
        <x:v>PETE_EXPLICIT</x:v>
      </x:c>
      <x:c r="G520" s="17" t="str">
        <x:v>UNREVIEWED</x:v>
      </x:c>
      <x:c r="H520" s="17" t="str"/>
      <x:c r="I520" s="17" t="str"/>
      <x:c r="J520" s="17" t="str"/>
      <x:c r="K520" s="17" t="str"/>
      <x:c r="L520" s="17" t="str"/>
      <x:c r="M520" s="17" t="str">
        <x:v>PENDING WHOLE-VIDEO REVIEW</x:v>
      </x:c>
      <x:c r="N520" s="15" t="n">
        <x:v>670</x:v>
      </x:c>
      <x:c r="O520" s="15" t="n">
        <x:v>4955</x:v>
      </x:c>
      <x:c r="P520" s="15" t="n">
        <x:v>1380</x:v>
      </x:c>
      <x:c r="Q520" s="13" t="str">
        <x:v>NO_LARGE_TAIL_GAP</x:v>
      </x:c>
      <x:c r="R520" s="13" t="str"/>
      <x:c r="S520" s="16" t="n">
        <x:v>0</x:v>
      </x:c>
      <x:c r="T520" s="13" t="str">
        <x:v>fe3dcce9049432741100a89110a433d3c3d885330ecd24a2b7f5a2695a6b3050</x:v>
      </x:c>
    </x:row>
    <x:row r="521" ht="15" hidden="0" customHeight="1">
      <x:c r="A521" s="13" t="str">
        <x:v>jwD6s_rduKg</x:v>
      </x:c>
      <x:c r="B521" s="13" t="str">
        <x:v>Best Stock Picks Today | Bank Stocks Earnings 1-15-21</x:v>
      </x:c>
      <x:c r="C521" s="14" t="d">
        <x:v>2021-01-15T00:00:00.000Z</x:v>
      </x:c>
      <x:c r="D521" s="18" t="e">
        <x:f>HYPERLINK("https://www.youtube.com/watch?v=jwD6s_rduKg","Watch video")</x:f>
        <x:v>HYPERLINK is not implemented. linkLocation=https://www.youtube.com/watch?v=jwD6s_rduKg, friendlyName=Watch video</x:v>
      </x:c>
      <x:c r="E521" s="18" t="e">
        <x:f>HYPERLINK("transcripts/jwD6s_rduKg.html","Complete transcript")</x:f>
        <x:v>HYPERLINK is not implemented. linkLocation=transcripts/jwD6s_rduKg.html, friendlyName=Complete transcript</x:v>
      </x:c>
      <x:c r="F521" s="13" t="str">
        <x:v>PETE_EXPLICIT</x:v>
      </x:c>
      <x:c r="G521" s="17" t="str">
        <x:v>UNREVIEWED</x:v>
      </x:c>
      <x:c r="H521" s="17" t="str"/>
      <x:c r="I521" s="17" t="str"/>
      <x:c r="J521" s="17" t="str"/>
      <x:c r="K521" s="17" t="str"/>
      <x:c r="L521" s="17" t="str"/>
      <x:c r="M521" s="17" t="str">
        <x:v>PENDING WHOLE-VIDEO REVIEW</x:v>
      </x:c>
      <x:c r="N521" s="15" t="n">
        <x:v>416</x:v>
      </x:c>
      <x:c r="O521" s="15" t="n">
        <x:v>2614</x:v>
      </x:c>
      <x:c r="P521" s="15" t="n">
        <x:v>746</x:v>
      </x:c>
      <x:c r="Q521" s="13" t="str">
        <x:v>NO_LARGE_TAIL_GAP</x:v>
      </x:c>
      <x:c r="R521" s="13" t="str"/>
      <x:c r="S521" s="16" t="n">
        <x:v>0</x:v>
      </x:c>
      <x:c r="T521" s="13" t="str">
        <x:v>7ffd49883f2482cc82392bf1b1eb3dc92a85c9414429080929a1299fc6d271c7</x:v>
      </x:c>
    </x:row>
    <x:row r="522" ht="15" hidden="0" customHeight="1">
      <x:c r="A522" s="13" t="str">
        <x:v>k23tynZIxBg</x:v>
      </x:c>
      <x:c r="B522" s="13" t="str">
        <x:v>Day Trading Insights That Change Everything</x:v>
      </x:c>
      <x:c r="C522" s="14" t="d">
        <x:v>2025-09-24T00:00:00.000Z</x:v>
      </x:c>
      <x:c r="D522" s="18" t="e">
        <x:f>HYPERLINK("https://www.youtube.com/watch?v=k23tynZIxBg","Watch video")</x:f>
        <x:v>HYPERLINK is not implemented. linkLocation=https://www.youtube.com/watch?v=k23tynZIxBg, friendlyName=Watch video</x:v>
      </x:c>
      <x:c r="E522" s="18" t="e">
        <x:f>HYPERLINK("transcripts/k23tynZIxBg.html","Complete transcript")</x:f>
        <x:v>HYPERLINK is not implemented. linkLocation=transcripts/k23tynZIxBg.html, friendlyName=Complete transcript</x:v>
      </x:c>
      <x:c r="F522" s="13" t="str">
        <x:v>UNKNOWN_REQUIRES_REVIEW</x:v>
      </x:c>
      <x:c r="G522" s="17" t="str">
        <x:v>UNREVIEWED</x:v>
      </x:c>
      <x:c r="H522" s="17" t="str"/>
      <x:c r="I522" s="17" t="str"/>
      <x:c r="J522" s="17" t="str"/>
      <x:c r="K522" s="17" t="str"/>
      <x:c r="L522" s="17" t="str"/>
      <x:c r="M522" s="17" t="str">
        <x:v>PENDING WHOLE-VIDEO REVIEW</x:v>
      </x:c>
      <x:c r="N522" s="15" t="n">
        <x:v>734</x:v>
      </x:c>
      <x:c r="O522" s="15" t="n">
        <x:v>5099</x:v>
      </x:c>
      <x:c r="P522" s="15" t="n">
        <x:v>1587</x:v>
      </x:c>
      <x:c r="Q522" s="13" t="str">
        <x:v>NO_LARGE_TAIL_GAP</x:v>
      </x:c>
      <x:c r="R522" s="13" t="str"/>
      <x:c r="S522" s="16" t="n">
        <x:v>0</x:v>
      </x:c>
      <x:c r="T522" s="13" t="str">
        <x:v>eabf9a6492338e2264bb9cbe8e43243826364dee050844c0470e8dc3d99881a3</x:v>
      </x:c>
    </x:row>
    <x:row r="523" ht="15" hidden="0" customHeight="1">
      <x:c r="A523" s="13" t="str">
        <x:v>kSTaILbMebo</x:v>
      </x:c>
      <x:c r="B523" s="13" t="str">
        <x:v>Swing Trade Entries | Stocks for Breakfast | Momentum Trading</x:v>
      </x:c>
      <x:c r="C523" s="14" t="d">
        <x:v>2020-11-16T00:00:00.000Z</x:v>
      </x:c>
      <x:c r="D523" s="18" t="e">
        <x:f>HYPERLINK("https://www.youtube.com/watch?v=kSTaILbMebo","Watch video")</x:f>
        <x:v>HYPERLINK is not implemented. linkLocation=https://www.youtube.com/watch?v=kSTaILbMebo, friendlyName=Watch video</x:v>
      </x:c>
      <x:c r="E523" s="18" t="e">
        <x:f>HYPERLINK("transcripts/kSTaILbMebo.html","Complete transcript")</x:f>
        <x:v>HYPERLINK is not implemented. linkLocation=transcripts/kSTaILbMebo.html, friendlyName=Complete transcript</x:v>
      </x:c>
      <x:c r="F523" s="13" t="str">
        <x:v>PETE_EXPLICIT</x:v>
      </x:c>
      <x:c r="G523" s="17" t="str">
        <x:v>UNREVIEWED</x:v>
      </x:c>
      <x:c r="H523" s="17" t="str"/>
      <x:c r="I523" s="17" t="str"/>
      <x:c r="J523" s="17" t="str"/>
      <x:c r="K523" s="17" t="str"/>
      <x:c r="L523" s="17" t="str"/>
      <x:c r="M523" s="17" t="str">
        <x:v>PENDING WHOLE-VIDEO REVIEW</x:v>
      </x:c>
      <x:c r="N523" s="15" t="n">
        <x:v>344</x:v>
      </x:c>
      <x:c r="O523" s="15" t="n">
        <x:v>2089</x:v>
      </x:c>
      <x:c r="P523" s="15" t="n">
        <x:v>630</x:v>
      </x:c>
      <x:c r="Q523" s="13" t="str">
        <x:v>NO_LARGE_TAIL_GAP</x:v>
      </x:c>
      <x:c r="R523" s="13" t="str"/>
      <x:c r="S523" s="16" t="n">
        <x:v>0</x:v>
      </x:c>
      <x:c r="T523" s="13" t="str">
        <x:v>3bc268630c058ccdfa8b8023133814441f8082687e5f02512859ff6693601308</x:v>
      </x:c>
    </x:row>
    <x:row r="524" ht="15" hidden="0" customHeight="1">
      <x:c r="A524" s="13" t="str">
        <x:v>kTHIQB425fQ</x:v>
      </x:c>
      <x:c r="B524" s="13" t="str">
        <x:v>Stocks for Breakfast | How Profitable Traders Think Differently</x:v>
      </x:c>
      <x:c r="C524" s="14" t="d">
        <x:v>2021-01-22T00:00:00.000Z</x:v>
      </x:c>
      <x:c r="D524" s="18" t="e">
        <x:f>HYPERLINK("https://www.youtube.com/watch?v=kTHIQB425fQ","Watch video")</x:f>
        <x:v>HYPERLINK is not implemented. linkLocation=https://www.youtube.com/watch?v=kTHIQB425fQ, friendlyName=Watch video</x:v>
      </x:c>
      <x:c r="E524" s="18" t="e">
        <x:f>HYPERLINK("transcripts/kTHIQB425fQ.html","Complete transcript")</x:f>
        <x:v>HYPERLINK is not implemented. linkLocation=transcripts/kTHIQB425fQ.html, friendlyName=Complete transcript</x:v>
      </x:c>
      <x:c r="F524" s="13" t="str">
        <x:v>PETE_EXPLICIT</x:v>
      </x:c>
      <x:c r="G524" s="17" t="str">
        <x:v>UNREVIEWED</x:v>
      </x:c>
      <x:c r="H524" s="17" t="str"/>
      <x:c r="I524" s="17" t="str"/>
      <x:c r="J524" s="17" t="str"/>
      <x:c r="K524" s="17" t="str"/>
      <x:c r="L524" s="17" t="str"/>
      <x:c r="M524" s="17" t="str">
        <x:v>PENDING WHOLE-VIDEO REVIEW</x:v>
      </x:c>
      <x:c r="N524" s="15" t="n">
        <x:v>405</x:v>
      </x:c>
      <x:c r="O524" s="15" t="n">
        <x:v>2459</x:v>
      </x:c>
      <x:c r="P524" s="15" t="n">
        <x:v>749</x:v>
      </x:c>
      <x:c r="Q524" s="13" t="str">
        <x:v>NO_LARGE_TAIL_GAP</x:v>
      </x:c>
      <x:c r="R524" s="13" t="str"/>
      <x:c r="S524" s="16" t="n">
        <x:v>0</x:v>
      </x:c>
      <x:c r="T524" s="13" t="str">
        <x:v>d7e30b0165e40b83171c01f5eb17b341c88ef48b896f3e4e7ffeccf3cc5e0736</x:v>
      </x:c>
    </x:row>
    <x:row r="525" ht="15" hidden="0" customHeight="1">
      <x:c r="A525" s="13" t="str">
        <x:v>kXzjkyQ1kP4</x:v>
      </x:c>
      <x:c r="B525" s="13" t="str">
        <x:v>Trade Order Flow | 2021 Boot Camp Update</x:v>
      </x:c>
      <x:c r="C525" s="14" t="d">
        <x:v>2020-12-30T00:00:00.000Z</x:v>
      </x:c>
      <x:c r="D525" s="18" t="e">
        <x:f>HYPERLINK("https://www.youtube.com/watch?v=kXzjkyQ1kP4","Watch video")</x:f>
        <x:v>HYPERLINK is not implemented. linkLocation=https://www.youtube.com/watch?v=kXzjkyQ1kP4, friendlyName=Watch video</x:v>
      </x:c>
      <x:c r="E525" s="18" t="e">
        <x:f>HYPERLINK("transcripts/kXzjkyQ1kP4.html","Complete transcript")</x:f>
        <x:v>HYPERLINK is not implemented. linkLocation=transcripts/kXzjkyQ1kP4.html, friendlyName=Complete transcript</x:v>
      </x:c>
      <x:c r="F525" s="13" t="str">
        <x:v>PETE_EXPLICIT</x:v>
      </x:c>
      <x:c r="G525" s="17" t="str">
        <x:v>UNREVIEWED</x:v>
      </x:c>
      <x:c r="H525" s="17" t="str"/>
      <x:c r="I525" s="17" t="str"/>
      <x:c r="J525" s="17" t="str"/>
      <x:c r="K525" s="17" t="str"/>
      <x:c r="L525" s="17" t="str"/>
      <x:c r="M525" s="17" t="str">
        <x:v>PENDING WHOLE-VIDEO REVIEW</x:v>
      </x:c>
      <x:c r="N525" s="15" t="n">
        <x:v>164</x:v>
      </x:c>
      <x:c r="O525" s="15" t="n">
        <x:v>991</x:v>
      </x:c>
      <x:c r="P525" s="15" t="n">
        <x:v>292</x:v>
      </x:c>
      <x:c r="Q525" s="13" t="str">
        <x:v>NO_LARGE_TAIL_GAP</x:v>
      </x:c>
      <x:c r="R525" s="13" t="str"/>
      <x:c r="S525" s="16" t="n">
        <x:v>0</x:v>
      </x:c>
      <x:c r="T525" s="13" t="str">
        <x:v>f8e35d14d33db22535d4d15c7a3f944bdcf101f2cfd1e1dc13800598c55c6cf0</x:v>
      </x:c>
    </x:row>
    <x:row r="526" ht="15" hidden="0" customHeight="1">
      <x:c r="A526" s="13" t="str">
        <x:v>khuCugD4BlY</x:v>
      </x:c>
      <x:c r="B526" s="13" t="str">
        <x:v>Options Trading Insights: How to Trade Options Effectively</x:v>
      </x:c>
      <x:c r="C526" s="14" t="d">
        <x:v>2024-07-11T00:00:00.000Z</x:v>
      </x:c>
      <x:c r="D526" s="18" t="e">
        <x:f>HYPERLINK("https://www.youtube.com/watch?v=khuCugD4BlY","Watch video")</x:f>
        <x:v>HYPERLINK is not implemented. linkLocation=https://www.youtube.com/watch?v=khuCugD4BlY, friendlyName=Watch video</x:v>
      </x:c>
      <x:c r="E526" s="18" t="e">
        <x:f>HYPERLINK("transcripts/khuCugD4BlY.html","Complete transcript")</x:f>
        <x:v>HYPERLINK is not implemented. linkLocation=transcripts/khuCugD4BlY.html, friendlyName=Complete transcript</x:v>
      </x:c>
      <x:c r="F526" s="13" t="str">
        <x:v>NON_PETE_EXPLICIT_JOHN</x:v>
      </x:c>
      <x:c r="G526" s="17" t="str">
        <x:v>UNREVIEWED</x:v>
      </x:c>
      <x:c r="H526" s="17" t="str"/>
      <x:c r="I526" s="17" t="str"/>
      <x:c r="J526" s="17" t="str"/>
      <x:c r="K526" s="17" t="str"/>
      <x:c r="L526" s="17" t="str"/>
      <x:c r="M526" s="17" t="str">
        <x:v>PENDING WHOLE-VIDEO REVIEW</x:v>
      </x:c>
      <x:c r="N526" s="15" t="n">
        <x:v>205</x:v>
      </x:c>
      <x:c r="O526" s="15" t="n">
        <x:v>1503</x:v>
      </x:c>
      <x:c r="P526" s="15" t="n">
        <x:v>450</x:v>
      </x:c>
      <x:c r="Q526" s="13" t="str">
        <x:v>NO_LARGE_TAIL_GAP</x:v>
      </x:c>
      <x:c r="R526" s="13" t="str"/>
      <x:c r="S526" s="16" t="n">
        <x:v>0</x:v>
      </x:c>
      <x:c r="T526" s="13" t="str">
        <x:v>08f77aa4c2f529f35c29a6156d6ee3d91c351c47cc108b4ef2403443cfc37d8c</x:v>
      </x:c>
    </x:row>
    <x:row r="527" ht="15" hidden="0" customHeight="1">
      <x:c r="A527" s="13" t="str">
        <x:v>kmlKxYpgQNo</x:v>
      </x:c>
      <x:c r="B527" s="13" t="str">
        <x:v>Stock Trading Insights |  How to be Consistent</x:v>
      </x:c>
      <x:c r="C527" s="14" t="d">
        <x:v>2020-09-28T00:00:00.000Z</x:v>
      </x:c>
      <x:c r="D527" s="18" t="e">
        <x:f>HYPERLINK("https://www.youtube.com/watch?v=kmlKxYpgQNo","Watch video")</x:f>
        <x:v>HYPERLINK is not implemented. linkLocation=https://www.youtube.com/watch?v=kmlKxYpgQNo, friendlyName=Watch video</x:v>
      </x:c>
      <x:c r="E527" s="18" t="e">
        <x:f>HYPERLINK("transcripts/kmlKxYpgQNo.html","Complete transcript")</x:f>
        <x:v>HYPERLINK is not implemented. linkLocation=transcripts/kmlKxYpgQNo.html, friendlyName=Complete transcript</x:v>
      </x:c>
      <x:c r="F527" s="13" t="str">
        <x:v>UNKNOWN_REQUIRES_REVIEW</x:v>
      </x:c>
      <x:c r="G527" s="17" t="str">
        <x:v>UNREVIEWED</x:v>
      </x:c>
      <x:c r="H527" s="17" t="str"/>
      <x:c r="I527" s="17" t="str"/>
      <x:c r="J527" s="17" t="str"/>
      <x:c r="K527" s="17" t="str"/>
      <x:c r="L527" s="17" t="str"/>
      <x:c r="M527" s="17" t="str">
        <x:v>PENDING WHOLE-VIDEO REVIEW</x:v>
      </x:c>
      <x:c r="N527" s="15" t="n">
        <x:v>253</x:v>
      </x:c>
      <x:c r="O527" s="15" t="n">
        <x:v>1583</x:v>
      </x:c>
      <x:c r="P527" s="15" t="n">
        <x:v>446</x:v>
      </x:c>
      <x:c r="Q527" s="13" t="str">
        <x:v>NO_LARGE_TAIL_GAP</x:v>
      </x:c>
      <x:c r="R527" s="13" t="str"/>
      <x:c r="S527" s="16" t="n">
        <x:v>0</x:v>
      </x:c>
      <x:c r="T527" s="13" t="str">
        <x:v>96cf6258c40ebc83b814921c89b5b5e50035bbee820049f669e6d0d12be7d7bc</x:v>
      </x:c>
    </x:row>
    <x:row r="528" ht="15" hidden="0" customHeight="1">
      <x:c r="A528" s="13" t="str">
        <x:v>kvCPs7syHk8</x:v>
      </x:c>
      <x:c r="B528" s="13" t="str">
        <x:v>Stock Trading Webinar | Advanced Technical Analysis</x:v>
      </x:c>
      <x:c r="C528" s="14" t="d">
        <x:v>2015-05-05T00:00:00.000Z</x:v>
      </x:c>
      <x:c r="D528" s="18" t="e">
        <x:f>HYPERLINK("https://www.youtube.com/watch?v=kvCPs7syHk8","Watch video")</x:f>
        <x:v>HYPERLINK is not implemented. linkLocation=https://www.youtube.com/watch?v=kvCPs7syHk8, friendlyName=Watch video</x:v>
      </x:c>
      <x:c r="E528" s="18" t="e">
        <x:f>HYPERLINK("transcripts/kvCPs7syHk8.html","Complete transcript")</x:f>
        <x:v>HYPERLINK is not implemented. linkLocation=transcripts/kvCPs7syHk8.html, friendlyName=Complete transcript</x:v>
      </x:c>
      <x:c r="F528" s="13" t="str">
        <x:v>UNKNOWN_REQUIRES_REVIEW</x:v>
      </x:c>
      <x:c r="G528" s="17" t="str">
        <x:v>UNREVIEWED</x:v>
      </x:c>
      <x:c r="H528" s="17" t="str"/>
      <x:c r="I528" s="17" t="str"/>
      <x:c r="J528" s="17" t="str"/>
      <x:c r="K528" s="17" t="str"/>
      <x:c r="L528" s="17" t="str"/>
      <x:c r="M528" s="17" t="str">
        <x:v>PENDING WHOLE-VIDEO REVIEW</x:v>
      </x:c>
      <x:c r="N528" s="15" t="n">
        <x:v>1580</x:v>
      </x:c>
      <x:c r="O528" s="15" t="n">
        <x:v>11756</x:v>
      </x:c>
      <x:c r="P528" s="15" t="n">
        <x:v>3445</x:v>
      </x:c>
      <x:c r="Q528" s="13" t="str">
        <x:v>NO_LARGE_TAIL_GAP</x:v>
      </x:c>
      <x:c r="R528" s="13" t="str"/>
      <x:c r="S528" s="16" t="n">
        <x:v>0</x:v>
      </x:c>
      <x:c r="T528" s="13" t="str">
        <x:v>3bdb307fbd58bad6384fcddd5d9c0abd567e296adf68e8ee166ffcf443c455a4</x:v>
      </x:c>
    </x:row>
    <x:row r="529" ht="15" hidden="0" customHeight="1">
      <x:c r="A529" s="13" t="str">
        <x:v>l4s4Zu76liU</x:v>
      </x:c>
      <x:c r="B529" s="13" t="str">
        <x:v>OXY Stock CHK Stock 6-8-20 | Best Stock Picks Today</x:v>
      </x:c>
      <x:c r="C529" s="14" t="d">
        <x:v>2020-06-08T00:00:00.000Z</x:v>
      </x:c>
      <x:c r="D529" s="18" t="e">
        <x:f>HYPERLINK("https://www.youtube.com/watch?v=l4s4Zu76liU","Watch video")</x:f>
        <x:v>HYPERLINK is not implemented. linkLocation=https://www.youtube.com/watch?v=l4s4Zu76liU, friendlyName=Watch video</x:v>
      </x:c>
      <x:c r="E529" s="18" t="e">
        <x:f>HYPERLINK("transcripts/l4s4Zu76liU.html","Complete transcript")</x:f>
        <x:v>HYPERLINK is not implemented. linkLocation=transcripts/l4s4Zu76liU.html, friendlyName=Complete transcript</x:v>
      </x:c>
      <x:c r="F529" s="13" t="str">
        <x:v>PETE_EXPLICIT</x:v>
      </x:c>
      <x:c r="G529" s="17" t="str">
        <x:v>UNREVIEWED</x:v>
      </x:c>
      <x:c r="H529" s="17" t="str"/>
      <x:c r="I529" s="17" t="str"/>
      <x:c r="J529" s="17" t="str"/>
      <x:c r="K529" s="17" t="str"/>
      <x:c r="L529" s="17" t="str"/>
      <x:c r="M529" s="17" t="str">
        <x:v>PENDING WHOLE-VIDEO REVIEW</x:v>
      </x:c>
      <x:c r="N529" s="15" t="n">
        <x:v>442</x:v>
      </x:c>
      <x:c r="O529" s="15" t="n">
        <x:v>3306</x:v>
      </x:c>
      <x:c r="P529" s="15" t="n">
        <x:v>951</x:v>
      </x:c>
      <x:c r="Q529" s="13" t="str">
        <x:v>NO_LARGE_TAIL_GAP</x:v>
      </x:c>
      <x:c r="R529" s="13" t="str"/>
      <x:c r="S529" s="16" t="n">
        <x:v>0</x:v>
      </x:c>
      <x:c r="T529" s="13" t="str">
        <x:v>a5a119311bfcb8c8482e13dd0c20a8ef0e62bc1afc87a6f27ef297ddcb0a2f8c</x:v>
      </x:c>
    </x:row>
    <x:row r="530" ht="15" hidden="0" customHeight="1">
      <x:c r="A530" s="13" t="str">
        <x:v>lAoJ1UOf8yc</x:v>
      </x:c>
      <x:c r="B530" s="13" t="str">
        <x:v>Best Stocks to Buy Now | GME Stock Split News</x:v>
      </x:c>
      <x:c r="C530" s="14" t="d">
        <x:v>2022-04-01T00:00:00.000Z</x:v>
      </x:c>
      <x:c r="D530" s="18" t="e">
        <x:f>HYPERLINK("https://www.youtube.com/watch?v=lAoJ1UOf8yc","Watch video")</x:f>
        <x:v>HYPERLINK is not implemented. linkLocation=https://www.youtube.com/watch?v=lAoJ1UOf8yc, friendlyName=Watch video</x:v>
      </x:c>
      <x:c r="E530" s="18" t="e">
        <x:f>HYPERLINK("transcripts/lAoJ1UOf8yc.html","Complete transcript")</x:f>
        <x:v>HYPERLINK is not implemented. linkLocation=transcripts/lAoJ1UOf8yc.html, friendlyName=Complete transcript</x:v>
      </x:c>
      <x:c r="F530" s="13" t="str">
        <x:v>PETE_EXPLICIT</x:v>
      </x:c>
      <x:c r="G530" s="17" t="str">
        <x:v>UNREVIEWED</x:v>
      </x:c>
      <x:c r="H530" s="17" t="str"/>
      <x:c r="I530" s="17" t="str"/>
      <x:c r="J530" s="17" t="str"/>
      <x:c r="K530" s="17" t="str"/>
      <x:c r="L530" s="17" t="str"/>
      <x:c r="M530" s="17" t="str">
        <x:v>PENDING WHOLE-VIDEO REVIEW</x:v>
      </x:c>
      <x:c r="N530" s="15" t="n">
        <x:v>472</x:v>
      </x:c>
      <x:c r="O530" s="15" t="n">
        <x:v>3359</x:v>
      </x:c>
      <x:c r="P530" s="15" t="n">
        <x:v>893</x:v>
      </x:c>
      <x:c r="Q530" s="13" t="str">
        <x:v>NO_LARGE_TAIL_GAP</x:v>
      </x:c>
      <x:c r="R530" s="13" t="str"/>
      <x:c r="S530" s="16" t="n">
        <x:v>0</x:v>
      </x:c>
      <x:c r="T530" s="13" t="str">
        <x:v>ec278fb8d596b65bd4a65ac363f6a4fd10c6d55ad81d7ffaa7788c7bfeb3d771</x:v>
      </x:c>
    </x:row>
    <x:row r="531" ht="15" hidden="0" customHeight="1">
      <x:c r="A531" s="13" t="str">
        <x:v>lCL4EGgGMDA</x:v>
      </x:c>
      <x:c r="B531" s="13" t="str">
        <x:v>Day Trading Stocks Profitably</x:v>
      </x:c>
      <x:c r="C531" s="14" t="d">
        <x:v>2020-05-11T00:00:00.000Z</x:v>
      </x:c>
      <x:c r="D531" s="18" t="e">
        <x:f>HYPERLINK("https://www.youtube.com/watch?v=lCL4EGgGMDA","Watch video")</x:f>
        <x:v>HYPERLINK is not implemented. linkLocation=https://www.youtube.com/watch?v=lCL4EGgGMDA, friendlyName=Watch video</x:v>
      </x:c>
      <x:c r="E531" s="18" t="e">
        <x:f>HYPERLINK("transcripts/lCL4EGgGMDA.html","Complete transcript")</x:f>
        <x:v>HYPERLINK is not implemented. linkLocation=transcripts/lCL4EGgGMDA.html, friendlyName=Complete transcript</x:v>
      </x:c>
      <x:c r="F531" s="13" t="str">
        <x:v>PETE_EXPLICIT</x:v>
      </x:c>
      <x:c r="G531" s="17" t="str">
        <x:v>UNREVIEWED</x:v>
      </x:c>
      <x:c r="H531" s="17" t="str"/>
      <x:c r="I531" s="17" t="str"/>
      <x:c r="J531" s="17" t="str"/>
      <x:c r="K531" s="17" t="str"/>
      <x:c r="L531" s="17" t="str"/>
      <x:c r="M531" s="17" t="str">
        <x:v>PENDING WHOLE-VIDEO REVIEW</x:v>
      </x:c>
      <x:c r="N531" s="15" t="n">
        <x:v>431</x:v>
      </x:c>
      <x:c r="O531" s="15" t="n">
        <x:v>2643</x:v>
      </x:c>
      <x:c r="P531" s="15" t="n">
        <x:v>803</x:v>
      </x:c>
      <x:c r="Q531" s="13" t="str">
        <x:v>NO_LARGE_TAIL_GAP</x:v>
      </x:c>
      <x:c r="R531" s="13" t="str"/>
      <x:c r="S531" s="16" t="n">
        <x:v>0</x:v>
      </x:c>
      <x:c r="T531" s="13" t="str">
        <x:v>6d277b2c8181b215fc617d774d443d5504c987f0d6d59c7708527093bf7d8c29</x:v>
      </x:c>
    </x:row>
    <x:row r="532" ht="15" hidden="0" customHeight="1">
      <x:c r="A532" s="13" t="str">
        <x:v>lHuzTzUz6-g</x:v>
      </x:c>
      <x:c r="B532" s="13" t="str">
        <x:v>Stock Trading Strategies | Entries and Exits</x:v>
      </x:c>
      <x:c r="C532" s="14" t="d">
        <x:v>2020-09-04T00:00:00.000Z</x:v>
      </x:c>
      <x:c r="D532" s="18" t="e">
        <x:f>HYPERLINK("https://www.youtube.com/watch?v=lHuzTzUz6-g","Watch video")</x:f>
        <x:v>HYPERLINK is not implemented. linkLocation=https://www.youtube.com/watch?v=lHuzTzUz6-g, friendlyName=Watch video</x:v>
      </x:c>
      <x:c r="E532" s="18" t="e">
        <x:f>HYPERLINK("transcripts/lHuzTzUz6-g.html","Complete transcript")</x:f>
        <x:v>HYPERLINK is not implemented. linkLocation=transcripts/lHuzTzUz6-g.html, friendlyName=Complete transcript</x:v>
      </x:c>
      <x:c r="F532" s="13" t="str">
        <x:v>PETE_EXPLICIT</x:v>
      </x:c>
      <x:c r="G532" s="17" t="str">
        <x:v>UNREVIEWED</x:v>
      </x:c>
      <x:c r="H532" s="17" t="str"/>
      <x:c r="I532" s="17" t="str"/>
      <x:c r="J532" s="17" t="str"/>
      <x:c r="K532" s="17" t="str"/>
      <x:c r="L532" s="17" t="str"/>
      <x:c r="M532" s="17" t="str">
        <x:v>PENDING WHOLE-VIDEO REVIEW</x:v>
      </x:c>
      <x:c r="N532" s="15" t="n">
        <x:v>318</x:v>
      </x:c>
      <x:c r="O532" s="15" t="n">
        <x:v>1943</x:v>
      </x:c>
      <x:c r="P532" s="15" t="n">
        <x:v>555</x:v>
      </x:c>
      <x:c r="Q532" s="13" t="str">
        <x:v>NO_LARGE_TAIL_GAP</x:v>
      </x:c>
      <x:c r="R532" s="13" t="str"/>
      <x:c r="S532" s="16" t="n">
        <x:v>0</x:v>
      </x:c>
      <x:c r="T532" s="13" t="str">
        <x:v>5aa4efd7f21ad2250d0beed3e9921f3d40f77aa5b17b90baa35090ff66d25bfe</x:v>
      </x:c>
    </x:row>
    <x:row r="533" ht="15" hidden="0" customHeight="1">
      <x:c r="A533" s="13" t="str">
        <x:v>lIMqmku_FEE</x:v>
      </x:c>
      <x:c r="B533" s="13" t="str">
        <x:v>Options Trading Insights: How to Trade Options Correctly</x:v>
      </x:c>
      <x:c r="C533" s="14" t="d">
        <x:v>2024-07-10T00:00:00.000Z</x:v>
      </x:c>
      <x:c r="D533" s="18" t="e">
        <x:f>HYPERLINK("https://www.youtube.com/watch?v=lIMqmku_FEE","Watch video")</x:f>
        <x:v>HYPERLINK is not implemented. linkLocation=https://www.youtube.com/watch?v=lIMqmku_FEE, friendlyName=Watch video</x:v>
      </x:c>
      <x:c r="E533" s="18" t="e">
        <x:f>HYPERLINK("transcripts/lIMqmku_FEE.html","Complete transcript")</x:f>
        <x:v>HYPERLINK is not implemented. linkLocation=transcripts/lIMqmku_FEE.html, friendlyName=Complete transcript</x:v>
      </x:c>
      <x:c r="F533" s="13" t="str">
        <x:v>NON_PETE_EXPLICIT_JOHN</x:v>
      </x:c>
      <x:c r="G533" s="17" t="str">
        <x:v>UNREVIEWED</x:v>
      </x:c>
      <x:c r="H533" s="17" t="str"/>
      <x:c r="I533" s="17" t="str"/>
      <x:c r="J533" s="17" t="str"/>
      <x:c r="K533" s="17" t="str"/>
      <x:c r="L533" s="17" t="str"/>
      <x:c r="M533" s="17" t="str">
        <x:v>PENDING WHOLE-VIDEO REVIEW</x:v>
      </x:c>
      <x:c r="N533" s="15" t="n">
        <x:v>268</x:v>
      </x:c>
      <x:c r="O533" s="15" t="n">
        <x:v>2012</x:v>
      </x:c>
      <x:c r="P533" s="15" t="n">
        <x:v>594</x:v>
      </x:c>
      <x:c r="Q533" s="13" t="str">
        <x:v>NO_LARGE_TAIL_GAP</x:v>
      </x:c>
      <x:c r="R533" s="13" t="str"/>
      <x:c r="S533" s="16" t="n">
        <x:v>0</x:v>
      </x:c>
      <x:c r="T533" s="13" t="str">
        <x:v>a3ca831ed421a9174617ece47aee0ed6707abb492543a3c823376db729ff2799</x:v>
      </x:c>
    </x:row>
    <x:row r="534" ht="15" hidden="0" customHeight="1">
      <x:c r="A534" s="13" t="str">
        <x:v>lKd4XMeOjvA</x:v>
      </x:c>
      <x:c r="B534" s="13" t="str">
        <x:v>How Two Professional Traders Assess Market Conditions</x:v>
      </x:c>
      <x:c r="C534" s="14" t="d">
        <x:v>2015-06-06T00:00:00.000Z</x:v>
      </x:c>
      <x:c r="D534" s="18" t="e">
        <x:f>HYPERLINK("https://www.youtube.com/watch?v=lKd4XMeOjvA","Watch video")</x:f>
        <x:v>HYPERLINK is not implemented. linkLocation=https://www.youtube.com/watch?v=lKd4XMeOjvA, friendlyName=Watch video</x:v>
      </x:c>
      <x:c r="E534" s="18" t="e">
        <x:f>HYPERLINK("transcripts/lKd4XMeOjvA.html","Complete transcript")</x:f>
        <x:v>HYPERLINK is not implemented. linkLocation=transcripts/lKd4XMeOjvA.html, friendlyName=Complete transcript</x:v>
      </x:c>
      <x:c r="F534" s="13" t="str">
        <x:v>UNKNOWN_REQUIRES_REVIEW</x:v>
      </x:c>
      <x:c r="G534" s="17" t="str">
        <x:v>UNREVIEWED</x:v>
      </x:c>
      <x:c r="H534" s="17" t="str"/>
      <x:c r="I534" s="17" t="str"/>
      <x:c r="J534" s="17" t="str"/>
      <x:c r="K534" s="17" t="str"/>
      <x:c r="L534" s="17" t="str"/>
      <x:c r="M534" s="17" t="str">
        <x:v>PENDING WHOLE-VIDEO REVIEW</x:v>
      </x:c>
      <x:c r="N534" s="15" t="n">
        <x:v>149</x:v>
      </x:c>
      <x:c r="O534" s="15" t="n">
        <x:v>1109</x:v>
      </x:c>
      <x:c r="P534" s="15" t="n">
        <x:v>342</x:v>
      </x:c>
      <x:c r="Q534" s="13" t="str">
        <x:v>NO_LARGE_TAIL_GAP</x:v>
      </x:c>
      <x:c r="R534" s="13" t="str"/>
      <x:c r="S534" s="16" t="n">
        <x:v>0</x:v>
      </x:c>
      <x:c r="T534" s="13" t="str">
        <x:v>6abed2f012b75983b53fff4eaba4dd7796952995c25ac0bfee85f6984fd7d32d</x:v>
      </x:c>
    </x:row>
    <x:row r="535" ht="15" hidden="0" customHeight="1">
      <x:c r="A535" s="13" t="str">
        <x:v>lMphmHUZ5Tg</x:v>
      </x:c>
      <x:c r="B535" s="13" t="str">
        <x:v>Tesla' Stock Falls: Is Elon Musk spread too thin?</x:v>
      </x:c>
      <x:c r="C535" s="14" t="d">
        <x:v>2024-10-11T00:00:00.000Z</x:v>
      </x:c>
      <x:c r="D535" s="18" t="e">
        <x:f>HYPERLINK("https://www.youtube.com/watch?v=lMphmHUZ5Tg","Watch video")</x:f>
        <x:v>HYPERLINK is not implemented. linkLocation=https://www.youtube.com/watch?v=lMphmHUZ5Tg, friendlyName=Watch video</x:v>
      </x:c>
      <x:c r="E535" s="18" t="e">
        <x:f>HYPERLINK("transcripts/lMphmHUZ5Tg.html","Complete transcript")</x:f>
        <x:v>HYPERLINK is not implemented. linkLocation=transcripts/lMphmHUZ5Tg.html, friendlyName=Complete transcript</x:v>
      </x:c>
      <x:c r="F535" s="13" t="str">
        <x:v>UNKNOWN_REQUIRES_REVIEW</x:v>
      </x:c>
      <x:c r="G535" s="17" t="str">
        <x:v>UNREVIEWED</x:v>
      </x:c>
      <x:c r="H535" s="17" t="str"/>
      <x:c r="I535" s="17" t="str"/>
      <x:c r="J535" s="17" t="str"/>
      <x:c r="K535" s="17" t="str"/>
      <x:c r="L535" s="17" t="str"/>
      <x:c r="M535" s="17" t="str">
        <x:v>PENDING WHOLE-VIDEO REVIEW</x:v>
      </x:c>
      <x:c r="N535" s="15" t="n">
        <x:v>689</x:v>
      </x:c>
      <x:c r="O535" s="15" t="n">
        <x:v>5067</x:v>
      </x:c>
      <x:c r="P535" s="15" t="n">
        <x:v>1526</x:v>
      </x:c>
      <x:c r="Q535" s="13" t="str">
        <x:v>NO_LARGE_TAIL_GAP</x:v>
      </x:c>
      <x:c r="R535" s="13" t="str"/>
      <x:c r="S535" s="16" t="n">
        <x:v>0</x:v>
      </x:c>
      <x:c r="T535" s="13" t="str">
        <x:v>2b339298145086f1f76fade95a42c668b7188bc4c092a4e631e05c574326a8f6</x:v>
      </x:c>
    </x:row>
    <x:row r="536" ht="15" hidden="0" customHeight="1">
      <x:c r="A536" s="13" t="str">
        <x:v>lVvUDuqu85E</x:v>
      </x:c>
      <x:c r="B536" s="13" t="str">
        <x:v>The 10 Perfect Trades Mindset: A Game-Changing Trading Strategy</x:v>
      </x:c>
      <x:c r="C536" s="14" t="d">
        <x:v>2020-12-17T00:00:00.000Z</x:v>
      </x:c>
      <x:c r="D536" s="18" t="e">
        <x:f>HYPERLINK("https://www.youtube.com/watch?v=lVvUDuqu85E","Watch video")</x:f>
        <x:v>HYPERLINK is not implemented. linkLocation=https://www.youtube.com/watch?v=lVvUDuqu85E, friendlyName=Watch video</x:v>
      </x:c>
      <x:c r="E536" s="18" t="e">
        <x:f>HYPERLINK("transcripts/lVvUDuqu85E.html","Complete transcript")</x:f>
        <x:v>HYPERLINK is not implemented. linkLocation=transcripts/lVvUDuqu85E.html, friendlyName=Complete transcript</x:v>
      </x:c>
      <x:c r="F536" s="13" t="str">
        <x:v>PETE_EXPLICIT</x:v>
      </x:c>
      <x:c r="G536" s="17" t="str">
        <x:v>UNREVIEWED</x:v>
      </x:c>
      <x:c r="H536" s="17" t="str"/>
      <x:c r="I536" s="17" t="str"/>
      <x:c r="J536" s="17" t="str"/>
      <x:c r="K536" s="17" t="str"/>
      <x:c r="L536" s="17" t="str"/>
      <x:c r="M536" s="17" t="str">
        <x:v>PENDING WHOLE-VIDEO REVIEW</x:v>
      </x:c>
      <x:c r="N536" s="15" t="n">
        <x:v>3135</x:v>
      </x:c>
      <x:c r="O536" s="15" t="n">
        <x:v>20915</x:v>
      </x:c>
      <x:c r="P536" s="15" t="n">
        <x:v>6442</x:v>
      </x:c>
      <x:c r="Q536" s="13" t="str">
        <x:v>NO_LARGE_TAIL_GAP</x:v>
      </x:c>
      <x:c r="R536" s="13" t="str"/>
      <x:c r="S536" s="16" t="n">
        <x:v>0</x:v>
      </x:c>
      <x:c r="T536" s="13" t="str">
        <x:v>135f58f94fbe689048a42245dd81850cd7b2cff2e728b29cbb652c3ff58b760a</x:v>
      </x:c>
    </x:row>
    <x:row r="537" ht="15" hidden="0" customHeight="1">
      <x:c r="A537" s="13" t="str">
        <x:v>lZ0dqO57w0g</x:v>
      </x:c>
      <x:c r="B537" s="13" t="str">
        <x:v>Trade Management | How to Determine Share Size</x:v>
      </x:c>
      <x:c r="C537" s="14" t="d">
        <x:v>2015-04-22T00:00:00.000Z</x:v>
      </x:c>
      <x:c r="D537" s="18" t="e">
        <x:f>HYPERLINK("https://www.youtube.com/watch?v=lZ0dqO57w0g","Watch video")</x:f>
        <x:v>HYPERLINK is not implemented. linkLocation=https://www.youtube.com/watch?v=lZ0dqO57w0g, friendlyName=Watch video</x:v>
      </x:c>
      <x:c r="E537" s="18" t="e">
        <x:f>HYPERLINK("transcripts/lZ0dqO57w0g.html","Complete transcript")</x:f>
        <x:v>HYPERLINK is not implemented. linkLocation=transcripts/lZ0dqO57w0g.html, friendlyName=Complete transcript</x:v>
      </x:c>
      <x:c r="F537" s="13" t="str">
        <x:v>UNKNOWN_REQUIRES_REVIEW</x:v>
      </x:c>
      <x:c r="G537" s="17" t="str">
        <x:v>UNREVIEWED</x:v>
      </x:c>
      <x:c r="H537" s="17" t="str"/>
      <x:c r="I537" s="17" t="str"/>
      <x:c r="J537" s="17" t="str"/>
      <x:c r="K537" s="17" t="str"/>
      <x:c r="L537" s="17" t="str"/>
      <x:c r="M537" s="17" t="str">
        <x:v>PENDING WHOLE-VIDEO REVIEW</x:v>
      </x:c>
      <x:c r="N537" s="15" t="n">
        <x:v>61</x:v>
      </x:c>
      <x:c r="O537" s="15" t="n">
        <x:v>444</x:v>
      </x:c>
      <x:c r="P537" s="15" t="n">
        <x:v>139</x:v>
      </x:c>
      <x:c r="Q537" s="13" t="str">
        <x:v>NO_LARGE_TAIL_GAP</x:v>
      </x:c>
      <x:c r="R537" s="13" t="str"/>
      <x:c r="S537" s="16" t="n">
        <x:v>0</x:v>
      </x:c>
      <x:c r="T537" s="13" t="str">
        <x:v>26f7459a693b30065eb4c92b7f0c15ec30ec5519d29258345af11b4afeb64c6f</x:v>
      </x:c>
    </x:row>
    <x:row r="538" ht="15" hidden="0" customHeight="1">
      <x:c r="A538" s="13" t="str">
        <x:v>lbiIw-W-vBk</x:v>
      </x:c>
      <x:c r="B538" s="13" t="str">
        <x:v>Stocks for Breakfast 2 21 20 | Day Trading TSLA Tesla Inc</x:v>
      </x:c>
      <x:c r="C538" s="14" t="d">
        <x:v>2020-02-21T00:00:00.000Z</x:v>
      </x:c>
      <x:c r="D538" s="18" t="e">
        <x:f>HYPERLINK("https://www.youtube.com/watch?v=lbiIw-W-vBk","Watch video")</x:f>
        <x:v>HYPERLINK is not implemented. linkLocation=https://www.youtube.com/watch?v=lbiIw-W-vBk, friendlyName=Watch video</x:v>
      </x:c>
      <x:c r="E538" s="18" t="e">
        <x:f>HYPERLINK("transcripts/lbiIw-W-vBk.html","Complete transcript")</x:f>
        <x:v>HYPERLINK is not implemented. linkLocation=transcripts/lbiIw-W-vBk.html, friendlyName=Complete transcript</x:v>
      </x:c>
      <x:c r="F538" s="13" t="str">
        <x:v>UNKNOWN_REQUIRES_REVIEW</x:v>
      </x:c>
      <x:c r="G538" s="17" t="str">
        <x:v>UNREVIEWED</x:v>
      </x:c>
      <x:c r="H538" s="17" t="str"/>
      <x:c r="I538" s="17" t="str"/>
      <x:c r="J538" s="17" t="str"/>
      <x:c r="K538" s="17" t="str"/>
      <x:c r="L538" s="17" t="str"/>
      <x:c r="M538" s="17" t="str">
        <x:v>PENDING WHOLE-VIDEO REVIEW</x:v>
      </x:c>
      <x:c r="N538" s="15" t="n">
        <x:v>496</x:v>
      </x:c>
      <x:c r="O538" s="15" t="n">
        <x:v>3574</x:v>
      </x:c>
      <x:c r="P538" s="15" t="n">
        <x:v>1083</x:v>
      </x:c>
      <x:c r="Q538" s="13" t="str">
        <x:v>NO_LARGE_TAIL_GAP</x:v>
      </x:c>
      <x:c r="R538" s="13" t="str"/>
      <x:c r="S538" s="16" t="n">
        <x:v>0</x:v>
      </x:c>
      <x:c r="T538" s="13" t="str">
        <x:v>806a6f6944789c33c552e7004778ba3e8ad91a982f80a943f02f5c3c107c5fd3</x:v>
      </x:c>
    </x:row>
    <x:row r="539" ht="15" hidden="0" customHeight="1">
      <x:c r="A539" s="13" t="str">
        <x:v>lcB83RcN23Y</x:v>
      </x:c>
      <x:c r="B539" s="13" t="str">
        <x:v>The Beginner's Guide to Finding Explosive Stocks Using Sector Rotation</x:v>
      </x:c>
      <x:c r="C539" s="14" t="d">
        <x:v>2021-02-12T00:00:00.000Z</x:v>
      </x:c>
      <x:c r="D539" s="18" t="e">
        <x:f>HYPERLINK("https://www.youtube.com/watch?v=lcB83RcN23Y","Watch video")</x:f>
        <x:v>HYPERLINK is not implemented. linkLocation=https://www.youtube.com/watch?v=lcB83RcN23Y, friendlyName=Watch video</x:v>
      </x:c>
      <x:c r="E539" s="18" t="e">
        <x:f>HYPERLINK("transcripts/lcB83RcN23Y.html","Complete transcript")</x:f>
        <x:v>HYPERLINK is not implemented. linkLocation=transcripts/lcB83RcN23Y.html, friendlyName=Complete transcript</x:v>
      </x:c>
      <x:c r="F539" s="13" t="str">
        <x:v>PETE_EXPLICIT</x:v>
      </x:c>
      <x:c r="G539" s="17" t="str">
        <x:v>UNREVIEWED</x:v>
      </x:c>
      <x:c r="H539" s="17" t="str"/>
      <x:c r="I539" s="17" t="str"/>
      <x:c r="J539" s="17" t="str"/>
      <x:c r="K539" s="17" t="str"/>
      <x:c r="L539" s="17" t="str"/>
      <x:c r="M539" s="17" t="str">
        <x:v>PENDING WHOLE-VIDEO REVIEW</x:v>
      </x:c>
      <x:c r="N539" s="15" t="n">
        <x:v>426</x:v>
      </x:c>
      <x:c r="O539" s="15" t="n">
        <x:v>2624</x:v>
      </x:c>
      <x:c r="P539" s="15" t="n">
        <x:v>818</x:v>
      </x:c>
      <x:c r="Q539" s="13" t="str">
        <x:v>NO_LARGE_TAIL_GAP</x:v>
      </x:c>
      <x:c r="R539" s="13" t="str"/>
      <x:c r="S539" s="16" t="n">
        <x:v>0</x:v>
      </x:c>
      <x:c r="T539" s="13" t="str">
        <x:v>14a83136ef30faa84646f0d6bfe32f88ee30199eca6ac3678d1e3dd69e6b888e</x:v>
      </x:c>
    </x:row>
    <x:row r="540" ht="15" hidden="0" customHeight="1">
      <x:c r="A540" s="13" t="str">
        <x:v>ligRoBDszMI</x:v>
      </x:c>
      <x:c r="B540" s="13" t="str">
        <x:v>How to Find the Best Stocks to Trade: A Pro Trader's Guide</x:v>
      </x:c>
      <x:c r="C540" s="14" t="d">
        <x:v>2020-09-16T00:00:00.000Z</x:v>
      </x:c>
      <x:c r="D540" s="18" t="e">
        <x:f>HYPERLINK("https://www.youtube.com/watch?v=ligRoBDszMI","Watch video")</x:f>
        <x:v>HYPERLINK is not implemented. linkLocation=https://www.youtube.com/watch?v=ligRoBDszMI, friendlyName=Watch video</x:v>
      </x:c>
      <x:c r="E540" s="18" t="e">
        <x:f>HYPERLINK("transcripts/ligRoBDszMI.html","Complete transcript")</x:f>
        <x:v>HYPERLINK is not implemented. linkLocation=transcripts/ligRoBDszMI.html, friendlyName=Complete transcript</x:v>
      </x:c>
      <x:c r="F540" s="13" t="str">
        <x:v>PETE_EXPLICIT</x:v>
      </x:c>
      <x:c r="G540" s="17" t="str">
        <x:v>UNREVIEWED</x:v>
      </x:c>
      <x:c r="H540" s="17" t="str"/>
      <x:c r="I540" s="17" t="str"/>
      <x:c r="J540" s="17" t="str"/>
      <x:c r="K540" s="17" t="str"/>
      <x:c r="L540" s="17" t="str"/>
      <x:c r="M540" s="17" t="str">
        <x:v>PENDING WHOLE-VIDEO REVIEW</x:v>
      </x:c>
      <x:c r="N540" s="15" t="n">
        <x:v>388</x:v>
      </x:c>
      <x:c r="O540" s="15" t="n">
        <x:v>2324</x:v>
      </x:c>
      <x:c r="P540" s="15" t="n">
        <x:v>705</x:v>
      </x:c>
      <x:c r="Q540" s="13" t="str">
        <x:v>NO_LARGE_TAIL_GAP</x:v>
      </x:c>
      <x:c r="R540" s="13" t="str"/>
      <x:c r="S540" s="16" t="n">
        <x:v>0</x:v>
      </x:c>
      <x:c r="T540" s="13" t="str">
        <x:v>dcb13c6471c43bf7c3b672a20bb3e1adcafbeafdc026a1668f76fe1be27c81ce</x:v>
      </x:c>
    </x:row>
    <x:row r="541" ht="15" hidden="0" customHeight="1">
      <x:c r="A541" s="13" t="str">
        <x:v>ljppglVQN2c</x:v>
      </x:c>
      <x:c r="B541" s="13" t="str">
        <x:v>Profit Taking Strategies for Stock Traders</x:v>
      </x:c>
      <x:c r="C541" s="14" t="d">
        <x:v>2020-06-01T00:00:00.000Z</x:v>
      </x:c>
      <x:c r="D541" s="18" t="e">
        <x:f>HYPERLINK("https://www.youtube.com/watch?v=ljppglVQN2c","Watch video")</x:f>
        <x:v>HYPERLINK is not implemented. linkLocation=https://www.youtube.com/watch?v=ljppglVQN2c, friendlyName=Watch video</x:v>
      </x:c>
      <x:c r="E541" s="18" t="e">
        <x:f>HYPERLINK("transcripts/ljppglVQN2c.html","Complete transcript")</x:f>
        <x:v>HYPERLINK is not implemented. linkLocation=transcripts/ljppglVQN2c.html, friendlyName=Complete transcript</x:v>
      </x:c>
      <x:c r="F541" s="13" t="str">
        <x:v>UNKNOWN_REQUIRES_REVIEW</x:v>
      </x:c>
      <x:c r="G541" s="17" t="str">
        <x:v>UNREVIEWED</x:v>
      </x:c>
      <x:c r="H541" s="17" t="str"/>
      <x:c r="I541" s="17" t="str"/>
      <x:c r="J541" s="17" t="str"/>
      <x:c r="K541" s="17" t="str"/>
      <x:c r="L541" s="17" t="str"/>
      <x:c r="M541" s="17" t="str">
        <x:v>PENDING WHOLE-VIDEO REVIEW</x:v>
      </x:c>
      <x:c r="N541" s="15" t="n">
        <x:v>555</x:v>
      </x:c>
      <x:c r="O541" s="15" t="n">
        <x:v>4099</x:v>
      </x:c>
      <x:c r="P541" s="15" t="n">
        <x:v>1239</x:v>
      </x:c>
      <x:c r="Q541" s="13" t="str">
        <x:v>NO_LARGE_TAIL_GAP</x:v>
      </x:c>
      <x:c r="R541" s="13" t="str"/>
      <x:c r="S541" s="16" t="n">
        <x:v>0</x:v>
      </x:c>
      <x:c r="T541" s="13" t="str">
        <x:v>a4f8b4be5c441ed0c4974a503d2fdebde6067264459d1d4f46f8d5ba6d4ccb6f</x:v>
      </x:c>
    </x:row>
    <x:row r="542" ht="15" hidden="0" customHeight="1">
      <x:c r="A542" s="13" t="str">
        <x:v>luVQ78yEkzE</x:v>
      </x:c>
      <x:c r="B542" s="13" t="str">
        <x:v>NFLX Earnings | Stocks to Trade | 4 15 15</x:v>
      </x:c>
      <x:c r="C542" s="14" t="d">
        <x:v>2015-04-15T00:00:00.000Z</x:v>
      </x:c>
      <x:c r="D542" s="18" t="e">
        <x:f>HYPERLINK("https://www.youtube.com/watch?v=luVQ78yEkzE","Watch video")</x:f>
        <x:v>HYPERLINK is not implemented. linkLocation=https://www.youtube.com/watch?v=luVQ78yEkzE, friendlyName=Watch video</x:v>
      </x:c>
      <x:c r="E542" s="18" t="e">
        <x:f>HYPERLINK("transcripts/luVQ78yEkzE.html","Complete transcript")</x:f>
        <x:v>HYPERLINK is not implemented. linkLocation=transcripts/luVQ78yEkzE.html, friendlyName=Complete transcript</x:v>
      </x:c>
      <x:c r="F542" s="13" t="str">
        <x:v>UNKNOWN_REQUIRES_REVIEW</x:v>
      </x:c>
      <x:c r="G542" s="17" t="str">
        <x:v>UNREVIEWED</x:v>
      </x:c>
      <x:c r="H542" s="17" t="str"/>
      <x:c r="I542" s="17" t="str"/>
      <x:c r="J542" s="17" t="str"/>
      <x:c r="K542" s="17" t="str"/>
      <x:c r="L542" s="17" t="str"/>
      <x:c r="M542" s="17" t="str">
        <x:v>PENDING WHOLE-VIDEO REVIEW</x:v>
      </x:c>
      <x:c r="N542" s="15" t="n">
        <x:v>359</x:v>
      </x:c>
      <x:c r="O542" s="15" t="n">
        <x:v>2593</x:v>
      </x:c>
      <x:c r="P542" s="15" t="n">
        <x:v>807</x:v>
      </x:c>
      <x:c r="Q542" s="13" t="str">
        <x:v>NO_LARGE_TAIL_GAP</x:v>
      </x:c>
      <x:c r="R542" s="13" t="str"/>
      <x:c r="S542" s="16" t="n">
        <x:v>0</x:v>
      </x:c>
      <x:c r="T542" s="13" t="str">
        <x:v>a355bc513b79ad4cbce89d2aa80bc705512cce943d75086bd18f70a1f666e560</x:v>
      </x:c>
    </x:row>
    <x:row r="543" ht="15" hidden="0" customHeight="1">
      <x:c r="A543" s="13" t="str">
        <x:v>m5jW6Q9tHm0</x:v>
      </x:c>
      <x:c r="B543" s="13" t="str">
        <x:v>Best Stock Picks Today | RKT Stock 9-2-20</x:v>
      </x:c>
      <x:c r="C543" s="14" t="d">
        <x:v>2020-09-02T00:00:00.000Z</x:v>
      </x:c>
      <x:c r="D543" s="18" t="e">
        <x:f>HYPERLINK("https://www.youtube.com/watch?v=m5jW6Q9tHm0","Watch video")</x:f>
        <x:v>HYPERLINK is not implemented. linkLocation=https://www.youtube.com/watch?v=m5jW6Q9tHm0, friendlyName=Watch video</x:v>
      </x:c>
      <x:c r="E543" s="18" t="e">
        <x:f>HYPERLINK("transcripts/m5jW6Q9tHm0.html","Complete transcript")</x:f>
        <x:v>HYPERLINK is not implemented. linkLocation=transcripts/m5jW6Q9tHm0.html, friendlyName=Complete transcript</x:v>
      </x:c>
      <x:c r="F543" s="13" t="str">
        <x:v>PETE_EXPLICIT</x:v>
      </x:c>
      <x:c r="G543" s="17" t="str">
        <x:v>UNREVIEWED</x:v>
      </x:c>
      <x:c r="H543" s="17" t="str"/>
      <x:c r="I543" s="17" t="str"/>
      <x:c r="J543" s="17" t="str"/>
      <x:c r="K543" s="17" t="str"/>
      <x:c r="L543" s="17" t="str"/>
      <x:c r="M543" s="17" t="str">
        <x:v>PENDING WHOLE-VIDEO REVIEW</x:v>
      </x:c>
      <x:c r="N543" s="15" t="n">
        <x:v>365</x:v>
      </x:c>
      <x:c r="O543" s="15" t="n">
        <x:v>2231</x:v>
      </x:c>
      <x:c r="P543" s="15" t="n">
        <x:v>651</x:v>
      </x:c>
      <x:c r="Q543" s="13" t="str">
        <x:v>NO_LARGE_TAIL_GAP</x:v>
      </x:c>
      <x:c r="R543" s="13" t="str"/>
      <x:c r="S543" s="16" t="n">
        <x:v>0</x:v>
      </x:c>
      <x:c r="T543" s="13" t="str">
        <x:v>d4c48a39f329aec5a3cd04a6abaf2f6e0196373d4b4473502bda8c2d65207cc6</x:v>
      </x:c>
    </x:row>
    <x:row r="544" ht="15" hidden="0" customHeight="1">
      <x:c r="A544" s="13" t="str">
        <x:v>mCaQadpnVU0</x:v>
      </x:c>
      <x:c r="B544" s="13" t="str">
        <x:v>TSLA Earnings Tesla Inc | Best Stock Picks Today 4-29-20</x:v>
      </x:c>
      <x:c r="C544" s="14" t="d">
        <x:v>2020-04-29T00:00:00.000Z</x:v>
      </x:c>
      <x:c r="D544" s="18" t="e">
        <x:f>HYPERLINK("https://www.youtube.com/watch?v=mCaQadpnVU0","Watch video")</x:f>
        <x:v>HYPERLINK is not implemented. linkLocation=https://www.youtube.com/watch?v=mCaQadpnVU0, friendlyName=Watch video</x:v>
      </x:c>
      <x:c r="E544" s="18" t="e">
        <x:f>HYPERLINK("transcripts/mCaQadpnVU0.html","Complete transcript")</x:f>
        <x:v>HYPERLINK is not implemented. linkLocation=transcripts/mCaQadpnVU0.html, friendlyName=Complete transcript</x:v>
      </x:c>
      <x:c r="F544" s="13" t="str">
        <x:v>UNKNOWN_REQUIRES_REVIEW</x:v>
      </x:c>
      <x:c r="G544" s="17" t="str">
        <x:v>UNREVIEWED</x:v>
      </x:c>
      <x:c r="H544" s="17" t="str"/>
      <x:c r="I544" s="17" t="str"/>
      <x:c r="J544" s="17" t="str"/>
      <x:c r="K544" s="17" t="str"/>
      <x:c r="L544" s="17" t="str"/>
      <x:c r="M544" s="17" t="str">
        <x:v>PENDING WHOLE-VIDEO REVIEW</x:v>
      </x:c>
      <x:c r="N544" s="15" t="n">
        <x:v>493</x:v>
      </x:c>
      <x:c r="O544" s="15" t="n">
        <x:v>3584</x:v>
      </x:c>
      <x:c r="P544" s="15" t="n">
        <x:v>1101</x:v>
      </x:c>
      <x:c r="Q544" s="13" t="str">
        <x:v>NO_LARGE_TAIL_GAP</x:v>
      </x:c>
      <x:c r="R544" s="13" t="str"/>
      <x:c r="S544" s="16" t="n">
        <x:v>0</x:v>
      </x:c>
      <x:c r="T544" s="13" t="str">
        <x:v>9d1447118263c978a5ead5b0fe851ff1b7aa88105b7ac1c07e617f531115f94e</x:v>
      </x:c>
    </x:row>
    <x:row r="545" ht="15" hidden="0" customHeight="1">
      <x:c r="A545" s="13" t="str">
        <x:v>mDY4aBbTPw0</x:v>
      </x:c>
      <x:c r="B545" s="13" t="str">
        <x:v>DAY TRADING SECRETS YOU MUST KNOW</x:v>
      </x:c>
      <x:c r="C545" s="14" t="d">
        <x:v>2022-01-12T00:00:00.000Z</x:v>
      </x:c>
      <x:c r="D545" s="18" t="e">
        <x:f>HYPERLINK("https://www.youtube.com/watch?v=mDY4aBbTPw0","Watch video")</x:f>
        <x:v>HYPERLINK is not implemented. linkLocation=https://www.youtube.com/watch?v=mDY4aBbTPw0, friendlyName=Watch video</x:v>
      </x:c>
      <x:c r="E545" s="18" t="e">
        <x:f>HYPERLINK("transcripts/mDY4aBbTPw0.html","Complete transcript")</x:f>
        <x:v>HYPERLINK is not implemented. linkLocation=transcripts/mDY4aBbTPw0.html, friendlyName=Complete transcript</x:v>
      </x:c>
      <x:c r="F545" s="13" t="str">
        <x:v>PETE_EXPLICIT</x:v>
      </x:c>
      <x:c r="G545" s="17" t="str">
        <x:v>UNREVIEWED</x:v>
      </x:c>
      <x:c r="H545" s="17" t="str"/>
      <x:c r="I545" s="17" t="str"/>
      <x:c r="J545" s="17" t="str"/>
      <x:c r="K545" s="17" t="str"/>
      <x:c r="L545" s="17" t="str"/>
      <x:c r="M545" s="17" t="str">
        <x:v>PENDING WHOLE-VIDEO REVIEW</x:v>
      </x:c>
      <x:c r="N545" s="15" t="n">
        <x:v>170</x:v>
      </x:c>
      <x:c r="O545" s="15" t="n">
        <x:v>1085</x:v>
      </x:c>
      <x:c r="P545" s="15" t="n">
        <x:v>338</x:v>
      </x:c>
      <x:c r="Q545" s="13" t="str">
        <x:v>NO_LARGE_TAIL_GAP</x:v>
      </x:c>
      <x:c r="R545" s="13" t="str"/>
      <x:c r="S545" s="16" t="n">
        <x:v>0</x:v>
      </x:c>
      <x:c r="T545" s="13" t="str">
        <x:v>026d05caa2f817359d442176787a690ae1e73cd2a89800cc9f4c5863288fb8fe</x:v>
      </x:c>
    </x:row>
    <x:row r="546" ht="15" hidden="0" customHeight="1">
      <x:c r="A546" s="13" t="str">
        <x:v>mJPHNAgIK9Y</x:v>
      </x:c>
      <x:c r="B546" s="13" t="str">
        <x:v>NFLX Earnings Report Netflix Inc. | 4 21 20 Stocks for Breakfast</x:v>
      </x:c>
      <x:c r="C546" s="14" t="d">
        <x:v>2020-04-21T00:00:00.000Z</x:v>
      </x:c>
      <x:c r="D546" s="18" t="e">
        <x:f>HYPERLINK("https://www.youtube.com/watch?v=mJPHNAgIK9Y","Watch video")</x:f>
        <x:v>HYPERLINK is not implemented. linkLocation=https://www.youtube.com/watch?v=mJPHNAgIK9Y, friendlyName=Watch video</x:v>
      </x:c>
      <x:c r="E546" s="18" t="e">
        <x:f>HYPERLINK("transcripts/mJPHNAgIK9Y.html","Complete transcript")</x:f>
        <x:v>HYPERLINK is not implemented. linkLocation=transcripts/mJPHNAgIK9Y.html, friendlyName=Complete transcript</x:v>
      </x:c>
      <x:c r="F546" s="13" t="str">
        <x:v>UNKNOWN_REQUIRES_REVIEW</x:v>
      </x:c>
      <x:c r="G546" s="17" t="str">
        <x:v>UNREVIEWED</x:v>
      </x:c>
      <x:c r="H546" s="17" t="str"/>
      <x:c r="I546" s="17" t="str"/>
      <x:c r="J546" s="17" t="str"/>
      <x:c r="K546" s="17" t="str"/>
      <x:c r="L546" s="17" t="str"/>
      <x:c r="M546" s="17" t="str">
        <x:v>PENDING WHOLE-VIDEO REVIEW</x:v>
      </x:c>
      <x:c r="N546" s="15" t="n">
        <x:v>821</x:v>
      </x:c>
      <x:c r="O546" s="15" t="n">
        <x:v>5918</x:v>
      </x:c>
      <x:c r="P546" s="15" t="n">
        <x:v>1805</x:v>
      </x:c>
      <x:c r="Q546" s="13" t="str">
        <x:v>NO_LARGE_TAIL_GAP</x:v>
      </x:c>
      <x:c r="R546" s="13" t="str"/>
      <x:c r="S546" s="16" t="n">
        <x:v>0</x:v>
      </x:c>
      <x:c r="T546" s="13" t="str">
        <x:v>de2794437735a1d9a9cbc932bc3a2f83ca2e66eeaafd6e49c45c3210b3cf0bf0</x:v>
      </x:c>
    </x:row>
    <x:row r="547" ht="15" hidden="0" customHeight="1">
      <x:c r="A547" s="13" t="str">
        <x:v>mRVVbYpmJLg</x:v>
      </x:c>
      <x:c r="B547" s="13" t="str">
        <x:v>Stock Trading Strategies | Candlestick Charts</x:v>
      </x:c>
      <x:c r="C547" s="14" t="d">
        <x:v>2020-10-08T00:00:00.000Z</x:v>
      </x:c>
      <x:c r="D547" s="18" t="e">
        <x:f>HYPERLINK("https://www.youtube.com/watch?v=mRVVbYpmJLg","Watch video")</x:f>
        <x:v>HYPERLINK is not implemented. linkLocation=https://www.youtube.com/watch?v=mRVVbYpmJLg, friendlyName=Watch video</x:v>
      </x:c>
      <x:c r="E547" s="18" t="e">
        <x:f>HYPERLINK("transcripts/mRVVbYpmJLg.html","Complete transcript")</x:f>
        <x:v>HYPERLINK is not implemented. linkLocation=transcripts/mRVVbYpmJLg.html, friendlyName=Complete transcript</x:v>
      </x:c>
      <x:c r="F547" s="13" t="str">
        <x:v>PETE_EXPLICIT</x:v>
      </x:c>
      <x:c r="G547" s="17" t="str">
        <x:v>UNREVIEWED</x:v>
      </x:c>
      <x:c r="H547" s="17" t="str"/>
      <x:c r="I547" s="17" t="str"/>
      <x:c r="J547" s="17" t="str"/>
      <x:c r="K547" s="17" t="str"/>
      <x:c r="L547" s="17" t="str"/>
      <x:c r="M547" s="17" t="str">
        <x:v>PENDING WHOLE-VIDEO REVIEW</x:v>
      </x:c>
      <x:c r="N547" s="15" t="n">
        <x:v>435</x:v>
      </x:c>
      <x:c r="O547" s="15" t="n">
        <x:v>2782</x:v>
      </x:c>
      <x:c r="P547" s="15" t="n">
        <x:v>792</x:v>
      </x:c>
      <x:c r="Q547" s="13" t="str">
        <x:v>NO_LARGE_TAIL_GAP</x:v>
      </x:c>
      <x:c r="R547" s="13" t="str"/>
      <x:c r="S547" s="16" t="n">
        <x:v>0</x:v>
      </x:c>
      <x:c r="T547" s="13" t="str">
        <x:v>fb52aaa151ab48e3df7a9cb0d019153ec8c59ecac0a9e959b79f3d6f87dcba77</x:v>
      </x:c>
    </x:row>
    <x:row r="548" ht="15" hidden="0" customHeight="1">
      <x:c r="A548" s="13" t="str">
        <x:v>mX20hjdjY3M</x:v>
      </x:c>
      <x:c r="B548" s="13" t="str">
        <x:v>Sector Rotation / Best Stocks to Buy Now / Week of 18 April 2022</x:v>
      </x:c>
      <x:c r="C548" s="14" t="d">
        <x:v>2022-04-17T00:00:00.000Z</x:v>
      </x:c>
      <x:c r="D548" s="18" t="e">
        <x:f>HYPERLINK("https://www.youtube.com/watch?v=mX20hjdjY3M","Watch video")</x:f>
        <x:v>HYPERLINK is not implemented. linkLocation=https://www.youtube.com/watch?v=mX20hjdjY3M, friendlyName=Watch video</x:v>
      </x:c>
      <x:c r="E548" s="18" t="e">
        <x:f>HYPERLINK("transcripts/mX20hjdjY3M.html","Complete transcript")</x:f>
        <x:v>HYPERLINK is not implemented. linkLocation=transcripts/mX20hjdjY3M.html, friendlyName=Complete transcript</x:v>
      </x:c>
      <x:c r="F548" s="13" t="str">
        <x:v>PETE_EXPLICIT</x:v>
      </x:c>
      <x:c r="G548" s="17" t="str">
        <x:v>UNREVIEWED</x:v>
      </x:c>
      <x:c r="H548" s="17" t="str"/>
      <x:c r="I548" s="17" t="str"/>
      <x:c r="J548" s="17" t="str"/>
      <x:c r="K548" s="17" t="str"/>
      <x:c r="L548" s="17" t="str"/>
      <x:c r="M548" s="17" t="str">
        <x:v>PENDING WHOLE-VIDEO REVIEW</x:v>
      </x:c>
      <x:c r="N548" s="15" t="n">
        <x:v>496</x:v>
      </x:c>
      <x:c r="O548" s="15" t="n">
        <x:v>3250</x:v>
      </x:c>
      <x:c r="P548" s="15" t="n">
        <x:v>971</x:v>
      </x:c>
      <x:c r="Q548" s="13" t="str">
        <x:v>NO_LARGE_TAIL_GAP</x:v>
      </x:c>
      <x:c r="R548" s="13" t="str"/>
      <x:c r="S548" s="16" t="n">
        <x:v>0</x:v>
      </x:c>
      <x:c r="T548" s="13" t="str">
        <x:v>601a89f644f08448c139f8166b500535f4f62e80cb17c86c290348132112f0bd</x:v>
      </x:c>
    </x:row>
    <x:row r="549" ht="15" hidden="0" customHeight="1">
      <x:c r="A549" s="13" t="str">
        <x:v>m_BtY-DOUYA</x:v>
      </x:c>
      <x:c r="B549" s="13" t="str">
        <x:v>PFE Vaccine Gets U K  Approval | Best Stock Picks Today 12-2-20</x:v>
      </x:c>
      <x:c r="C549" s="14" t="d">
        <x:v>2020-12-02T00:00:00.000Z</x:v>
      </x:c>
      <x:c r="D549" s="18" t="e">
        <x:f>HYPERLINK("https://www.youtube.com/watch?v=m_BtY-DOUYA","Watch video")</x:f>
        <x:v>HYPERLINK is not implemented. linkLocation=https://www.youtube.com/watch?v=m_BtY-DOUYA, friendlyName=Watch video</x:v>
      </x:c>
      <x:c r="E549" s="18" t="e">
        <x:f>HYPERLINK("transcripts/m_BtY-DOUYA.html","Complete transcript")</x:f>
        <x:v>HYPERLINK is not implemented. linkLocation=transcripts/m_BtY-DOUYA.html, friendlyName=Complete transcript</x:v>
      </x:c>
      <x:c r="F549" s="13" t="str">
        <x:v>PETE_EXPLICIT</x:v>
      </x:c>
      <x:c r="G549" s="17" t="str">
        <x:v>UNREVIEWED</x:v>
      </x:c>
      <x:c r="H549" s="17" t="str"/>
      <x:c r="I549" s="17" t="str"/>
      <x:c r="J549" s="17" t="str"/>
      <x:c r="K549" s="17" t="str"/>
      <x:c r="L549" s="17" t="str"/>
      <x:c r="M549" s="17" t="str">
        <x:v>PENDING WHOLE-VIDEO REVIEW</x:v>
      </x:c>
      <x:c r="N549" s="15" t="n">
        <x:v>661</x:v>
      </x:c>
      <x:c r="O549" s="15" t="n">
        <x:v>4048</x:v>
      </x:c>
      <x:c r="P549" s="15" t="n">
        <x:v>1176</x:v>
      </x:c>
      <x:c r="Q549" s="13" t="str">
        <x:v>NO_LARGE_TAIL_GAP</x:v>
      </x:c>
      <x:c r="R549" s="13" t="str"/>
      <x:c r="S549" s="16" t="n">
        <x:v>0</x:v>
      </x:c>
      <x:c r="T549" s="13" t="str">
        <x:v>bacf1fb442cfb937c2a93a81b4c050c6ec2cf1df84d906af8911de9a60743861</x:v>
      </x:c>
    </x:row>
    <x:row r="550" ht="15" hidden="0" customHeight="1">
      <x:c r="A550" s="13" t="str">
        <x:v>mnQnEEMEeco</x:v>
      </x:c>
      <x:c r="B550" s="13" t="str">
        <x:v>Stock Trading Strategies | 6-5-20 Stocks for Breakfast</x:v>
      </x:c>
      <x:c r="C550" s="14" t="d">
        <x:v>2020-06-05T00:00:00.000Z</x:v>
      </x:c>
      <x:c r="D550" s="18" t="e">
        <x:f>HYPERLINK("https://www.youtube.com/watch?v=mnQnEEMEeco","Watch video")</x:f>
        <x:v>HYPERLINK is not implemented. linkLocation=https://www.youtube.com/watch?v=mnQnEEMEeco, friendlyName=Watch video</x:v>
      </x:c>
      <x:c r="E550" s="18" t="e">
        <x:f>HYPERLINK("transcripts/mnQnEEMEeco.html","Complete transcript")</x:f>
        <x:v>HYPERLINK is not implemented. linkLocation=transcripts/mnQnEEMEeco.html, friendlyName=Complete transcript</x:v>
      </x:c>
      <x:c r="F550" s="13" t="str">
        <x:v>PETE_EXPLICIT</x:v>
      </x:c>
      <x:c r="G550" s="17" t="str">
        <x:v>UNREVIEWED</x:v>
      </x:c>
      <x:c r="H550" s="17" t="str"/>
      <x:c r="I550" s="17" t="str"/>
      <x:c r="J550" s="17" t="str"/>
      <x:c r="K550" s="17" t="str"/>
      <x:c r="L550" s="17" t="str"/>
      <x:c r="M550" s="17" t="str">
        <x:v>PENDING WHOLE-VIDEO REVIEW</x:v>
      </x:c>
      <x:c r="N550" s="15" t="n">
        <x:v>383</x:v>
      </x:c>
      <x:c r="O550" s="15" t="n">
        <x:v>2862</x:v>
      </x:c>
      <x:c r="P550" s="15" t="n">
        <x:v>831</x:v>
      </x:c>
      <x:c r="Q550" s="13" t="str">
        <x:v>NO_LARGE_TAIL_GAP</x:v>
      </x:c>
      <x:c r="R550" s="13" t="str"/>
      <x:c r="S550" s="16" t="n">
        <x:v>0</x:v>
      </x:c>
      <x:c r="T550" s="13" t="str">
        <x:v>9e61c577855b4e3dee789b3357acafa9dd7efdb877d957cc58f016dd563c6bf9</x:v>
      </x:c>
    </x:row>
    <x:row r="551" ht="15" hidden="0" customHeight="1">
      <x:c r="A551" s="13" t="str">
        <x:v>mvyHgsGyzPg</x:v>
      </x:c>
      <x:c r="B551" s="13" t="str">
        <x:v>Options Trading for Beginners: How To Find Winners</x:v>
      </x:c>
      <x:c r="C551" s="14" t="d">
        <x:v>2024-07-10T00:00:00.000Z</x:v>
      </x:c>
      <x:c r="D551" s="18" t="e">
        <x:f>HYPERLINK("https://www.youtube.com/watch?v=mvyHgsGyzPg","Watch video")</x:f>
        <x:v>HYPERLINK is not implemented. linkLocation=https://www.youtube.com/watch?v=mvyHgsGyzPg, friendlyName=Watch video</x:v>
      </x:c>
      <x:c r="E551" s="18" t="e">
        <x:f>HYPERLINK("transcripts/mvyHgsGyzPg.html","Complete transcript")</x:f>
        <x:v>HYPERLINK is not implemented. linkLocation=transcripts/mvyHgsGyzPg.html, friendlyName=Complete transcript</x:v>
      </x:c>
      <x:c r="F551" s="13" t="str">
        <x:v>NON_PETE_EXPLICIT_JOHN</x:v>
      </x:c>
      <x:c r="G551" s="17" t="str">
        <x:v>UNREVIEWED</x:v>
      </x:c>
      <x:c r="H551" s="17" t="str"/>
      <x:c r="I551" s="17" t="str"/>
      <x:c r="J551" s="17" t="str"/>
      <x:c r="K551" s="17" t="str"/>
      <x:c r="L551" s="17" t="str"/>
      <x:c r="M551" s="17" t="str">
        <x:v>PENDING WHOLE-VIDEO REVIEW</x:v>
      </x:c>
      <x:c r="N551" s="15" t="n">
        <x:v>194</x:v>
      </x:c>
      <x:c r="O551" s="15" t="n">
        <x:v>1456</x:v>
      </x:c>
      <x:c r="P551" s="15" t="n">
        <x:v>440</x:v>
      </x:c>
      <x:c r="Q551" s="13" t="str">
        <x:v>NO_LARGE_TAIL_GAP</x:v>
      </x:c>
      <x:c r="R551" s="13" t="str"/>
      <x:c r="S551" s="16" t="n">
        <x:v>0</x:v>
      </x:c>
      <x:c r="T551" s="13" t="str">
        <x:v>6492615751718904ddd7fbd993b60536c821ce7b4a1ef72eb648655467d6962b</x:v>
      </x:c>
    </x:row>
    <x:row r="552" ht="15" hidden="0" customHeight="1">
      <x:c r="A552" s="13" t="str">
        <x:v>n5rANxK2-wY</x:v>
      </x:c>
      <x:c r="B552" s="13" t="str">
        <x:v>PTON Stock 6-3-20 | Best Stock Picks Today</x:v>
      </x:c>
      <x:c r="C552" s="14" t="d">
        <x:v>2020-06-03T00:00:00.000Z</x:v>
      </x:c>
      <x:c r="D552" s="18" t="e">
        <x:f>HYPERLINK("https://www.youtube.com/watch?v=n5rANxK2-wY","Watch video")</x:f>
        <x:v>HYPERLINK is not implemented. linkLocation=https://www.youtube.com/watch?v=n5rANxK2-wY, friendlyName=Watch video</x:v>
      </x:c>
      <x:c r="E552" s="18" t="e">
        <x:f>HYPERLINK("transcripts/n5rANxK2-wY.html","Complete transcript")</x:f>
        <x:v>HYPERLINK is not implemented. linkLocation=transcripts/n5rANxK2-wY.html, friendlyName=Complete transcript</x:v>
      </x:c>
      <x:c r="F552" s="13" t="str">
        <x:v>UNKNOWN_REQUIRES_REVIEW</x:v>
      </x:c>
      <x:c r="G552" s="17" t="str">
        <x:v>UNREVIEWED</x:v>
      </x:c>
      <x:c r="H552" s="17" t="str"/>
      <x:c r="I552" s="17" t="str"/>
      <x:c r="J552" s="17" t="str"/>
      <x:c r="K552" s="17" t="str"/>
      <x:c r="L552" s="17" t="str"/>
      <x:c r="M552" s="17" t="str">
        <x:v>PENDING WHOLE-VIDEO REVIEW</x:v>
      </x:c>
      <x:c r="N552" s="15" t="n">
        <x:v>211</x:v>
      </x:c>
      <x:c r="O552" s="15" t="n">
        <x:v>1521</x:v>
      </x:c>
      <x:c r="P552" s="15" t="n">
        <x:v>437</x:v>
      </x:c>
      <x:c r="Q552" s="13" t="str">
        <x:v>NO_LARGE_TAIL_GAP</x:v>
      </x:c>
      <x:c r="R552" s="13" t="str"/>
      <x:c r="S552" s="16" t="n">
        <x:v>0</x:v>
      </x:c>
      <x:c r="T552" s="13" t="str">
        <x:v>584c4f1a5cc725799a5106faa19d3d18f3a9ba1efd16859d42ef02ce7a18bb69</x:v>
      </x:c>
    </x:row>
    <x:row r="553" ht="15" hidden="0" customHeight="1">
      <x:c r="A553" s="13" t="str">
        <x:v>n7Aspy0Q1ak</x:v>
      </x:c>
      <x:c r="B553" s="13" t="str">
        <x:v>Profit Taking Strategies | Stock Trading Pro</x:v>
      </x:c>
      <x:c r="C553" s="14" t="d">
        <x:v>2020-08-26T00:00:00.000Z</x:v>
      </x:c>
      <x:c r="D553" s="18" t="e">
        <x:f>HYPERLINK("https://www.youtube.com/watch?v=n7Aspy0Q1ak","Watch video")</x:f>
        <x:v>HYPERLINK is not implemented. linkLocation=https://www.youtube.com/watch?v=n7Aspy0Q1ak, friendlyName=Watch video</x:v>
      </x:c>
      <x:c r="E553" s="18" t="e">
        <x:f>HYPERLINK("transcripts/n7Aspy0Q1ak.html","Complete transcript")</x:f>
        <x:v>HYPERLINK is not implemented. linkLocation=transcripts/n7Aspy0Q1ak.html, friendlyName=Complete transcript</x:v>
      </x:c>
      <x:c r="F553" s="13" t="str">
        <x:v>UNKNOWN_REQUIRES_REVIEW</x:v>
      </x:c>
      <x:c r="G553" s="17" t="str">
        <x:v>UNREVIEWED</x:v>
      </x:c>
      <x:c r="H553" s="17" t="str"/>
      <x:c r="I553" s="17" t="str"/>
      <x:c r="J553" s="17" t="str"/>
      <x:c r="K553" s="17" t="str"/>
      <x:c r="L553" s="17" t="str"/>
      <x:c r="M553" s="17" t="str">
        <x:v>PENDING WHOLE-VIDEO REVIEW</x:v>
      </x:c>
      <x:c r="N553" s="15" t="n">
        <x:v>760</x:v>
      </x:c>
      <x:c r="O553" s="15" t="n">
        <x:v>4846</x:v>
      </x:c>
      <x:c r="P553" s="15" t="n">
        <x:v>1424</x:v>
      </x:c>
      <x:c r="Q553" s="13" t="str">
        <x:v>NO_LARGE_TAIL_GAP</x:v>
      </x:c>
      <x:c r="R553" s="13" t="str"/>
      <x:c r="S553" s="16" t="n">
        <x:v>0</x:v>
      </x:c>
      <x:c r="T553" s="13" t="str">
        <x:v>fa93c02dc7ec07606a33dc35d3b91a91d07088a485cd2892fd442af6aeb023dd</x:v>
      </x:c>
    </x:row>
    <x:row r="554" ht="15" hidden="0" customHeight="1">
      <x:c r="A554" s="13" t="str">
        <x:v>nI343cI3lBU</x:v>
      </x:c>
      <x:c r="B554" s="13" t="str">
        <x:v>Financial Stocks in Play 5-27-20 | Best Stock Picks Today</x:v>
      </x:c>
      <x:c r="C554" s="14" t="d">
        <x:v>2020-05-27T00:00:00.000Z</x:v>
      </x:c>
      <x:c r="D554" s="18" t="e">
        <x:f>HYPERLINK("https://www.youtube.com/watch?v=nI343cI3lBU","Watch video")</x:f>
        <x:v>HYPERLINK is not implemented. linkLocation=https://www.youtube.com/watch?v=nI343cI3lBU, friendlyName=Watch video</x:v>
      </x:c>
      <x:c r="E554" s="18" t="e">
        <x:f>HYPERLINK("transcripts/nI343cI3lBU.html","Complete transcript")</x:f>
        <x:v>HYPERLINK is not implemented. linkLocation=transcripts/nI343cI3lBU.html, friendlyName=Complete transcript</x:v>
      </x:c>
      <x:c r="F554" s="13" t="str">
        <x:v>UNKNOWN_REQUIRES_REVIEW</x:v>
      </x:c>
      <x:c r="G554" s="17" t="str">
        <x:v>UNREVIEWED</x:v>
      </x:c>
      <x:c r="H554" s="17" t="str"/>
      <x:c r="I554" s="17" t="str"/>
      <x:c r="J554" s="17" t="str"/>
      <x:c r="K554" s="17" t="str"/>
      <x:c r="L554" s="17" t="str"/>
      <x:c r="M554" s="17" t="str">
        <x:v>PENDING WHOLE-VIDEO REVIEW</x:v>
      </x:c>
      <x:c r="N554" s="15" t="n">
        <x:v>379</x:v>
      </x:c>
      <x:c r="O554" s="15" t="n">
        <x:v>2661</x:v>
      </x:c>
      <x:c r="P554" s="15" t="n">
        <x:v>769</x:v>
      </x:c>
      <x:c r="Q554" s="13" t="str">
        <x:v>NO_LARGE_TAIL_GAP</x:v>
      </x:c>
      <x:c r="R554" s="13" t="str"/>
      <x:c r="S554" s="16" t="n">
        <x:v>0</x:v>
      </x:c>
      <x:c r="T554" s="13" t="str">
        <x:v>e1302f93c2c94fa535542a93de13a7522641e2e642427bc73ec3d19f8b51a286</x:v>
      </x:c>
    </x:row>
    <x:row r="555" ht="15" hidden="0" customHeight="1">
      <x:c r="A555" s="13" t="str">
        <x:v>nLgkwwCIKqY</x:v>
      </x:c>
      <x:c r="B555" s="13" t="str">
        <x:v>Options Basics Pro Tip</x:v>
      </x:c>
      <x:c r="C555" s="14" t="d">
        <x:v>2024-07-10T00:00:00.000Z</x:v>
      </x:c>
      <x:c r="D555" s="18" t="e">
        <x:f>HYPERLINK("https://www.youtube.com/watch?v=nLgkwwCIKqY","Watch video")</x:f>
        <x:v>HYPERLINK is not implemented. linkLocation=https://www.youtube.com/watch?v=nLgkwwCIKqY, friendlyName=Watch video</x:v>
      </x:c>
      <x:c r="E555" s="18" t="e">
        <x:f>HYPERLINK("transcripts/nLgkwwCIKqY.html","Complete transcript")</x:f>
        <x:v>HYPERLINK is not implemented. linkLocation=transcripts/nLgkwwCIKqY.html, friendlyName=Complete transcript</x:v>
      </x:c>
      <x:c r="F555" s="13" t="str">
        <x:v>NON_PETE_EXPLICIT_JOHN</x:v>
      </x:c>
      <x:c r="G555" s="17" t="str">
        <x:v>UNREVIEWED</x:v>
      </x:c>
      <x:c r="H555" s="17" t="str"/>
      <x:c r="I555" s="17" t="str"/>
      <x:c r="J555" s="17" t="str"/>
      <x:c r="K555" s="17" t="str"/>
      <x:c r="L555" s="17" t="str"/>
      <x:c r="M555" s="17" t="str">
        <x:v>PENDING WHOLE-VIDEO REVIEW</x:v>
      </x:c>
      <x:c r="N555" s="15" t="n">
        <x:v>200</x:v>
      </x:c>
      <x:c r="O555" s="15" t="n">
        <x:v>1415</x:v>
      </x:c>
      <x:c r="P555" s="15" t="n">
        <x:v>428</x:v>
      </x:c>
      <x:c r="Q555" s="13" t="str">
        <x:v>NO_LARGE_TAIL_GAP</x:v>
      </x:c>
      <x:c r="R555" s="13" t="str"/>
      <x:c r="S555" s="16" t="n">
        <x:v>0</x:v>
      </x:c>
      <x:c r="T555" s="13" t="str">
        <x:v>8879a21ceaf1189db0e0f635ffe9878af6bf7d369f0d66179645958e8293ba6c</x:v>
      </x:c>
    </x:row>
    <x:row r="556" ht="15" hidden="0" customHeight="1">
      <x:c r="A556" s="13" t="str">
        <x:v>nPbXUUZDuiU</x:v>
      </x:c>
      <x:c r="B556" s="13" t="str">
        <x:v>Stock Market | Trading Game Plan Recap | 4.29.15</x:v>
      </x:c>
      <x:c r="C556" s="14" t="d">
        <x:v>2015-04-29T00:00:00.000Z</x:v>
      </x:c>
      <x:c r="D556" s="18" t="e">
        <x:f>HYPERLINK("https://www.youtube.com/watch?v=nPbXUUZDuiU","Watch video")</x:f>
        <x:v>HYPERLINK is not implemented. linkLocation=https://www.youtube.com/watch?v=nPbXUUZDuiU, friendlyName=Watch video</x:v>
      </x:c>
      <x:c r="E556" s="18" t="e">
        <x:f>HYPERLINK("transcripts/nPbXUUZDuiU.html","Complete transcript")</x:f>
        <x:v>HYPERLINK is not implemented. linkLocation=transcripts/nPbXUUZDuiU.html, friendlyName=Complete transcript</x:v>
      </x:c>
      <x:c r="F556" s="13" t="str">
        <x:v>UNKNOWN_REQUIRES_REVIEW</x:v>
      </x:c>
      <x:c r="G556" s="17" t="str">
        <x:v>UNREVIEWED</x:v>
      </x:c>
      <x:c r="H556" s="17" t="str"/>
      <x:c r="I556" s="17" t="str"/>
      <x:c r="J556" s="17" t="str"/>
      <x:c r="K556" s="17" t="str"/>
      <x:c r="L556" s="17" t="str"/>
      <x:c r="M556" s="17" t="str">
        <x:v>PENDING WHOLE-VIDEO REVIEW</x:v>
      </x:c>
      <x:c r="N556" s="15" t="n">
        <x:v>386</x:v>
      </x:c>
      <x:c r="O556" s="15" t="n">
        <x:v>2860</x:v>
      </x:c>
      <x:c r="P556" s="15" t="n">
        <x:v>836</x:v>
      </x:c>
      <x:c r="Q556" s="13" t="str">
        <x:v>NO_LARGE_TAIL_GAP</x:v>
      </x:c>
      <x:c r="R556" s="13" t="str"/>
      <x:c r="S556" s="16" t="n">
        <x:v>0</x:v>
      </x:c>
      <x:c r="T556" s="13" t="str">
        <x:v>e7edc55b3f97981d8d0d5633d3cbdc97d9dadf9ccfc34abc2eca28f96fc21557</x:v>
      </x:c>
    </x:row>
    <x:row r="557" ht="15" hidden="0" customHeight="1">
      <x:c r="A557" s="13" t="str">
        <x:v>nS3MCd1hA2Q</x:v>
      </x:c>
      <x:c r="B557" s="13" t="str">
        <x:v>NKLA Trade | Best Stock Picks Today 11-19-20</x:v>
      </x:c>
      <x:c r="C557" s="14" t="d">
        <x:v>2020-11-19T00:00:00.000Z</x:v>
      </x:c>
      <x:c r="D557" s="18" t="e">
        <x:f>HYPERLINK("https://www.youtube.com/watch?v=nS3MCd1hA2Q","Watch video")</x:f>
        <x:v>HYPERLINK is not implemented. linkLocation=https://www.youtube.com/watch?v=nS3MCd1hA2Q, friendlyName=Watch video</x:v>
      </x:c>
      <x:c r="E557" s="18" t="e">
        <x:f>HYPERLINK("transcripts/nS3MCd1hA2Q.html","Complete transcript")</x:f>
        <x:v>HYPERLINK is not implemented. linkLocation=transcripts/nS3MCd1hA2Q.html, friendlyName=Complete transcript</x:v>
      </x:c>
      <x:c r="F557" s="13" t="str">
        <x:v>PETE_EXPLICIT</x:v>
      </x:c>
      <x:c r="G557" s="17" t="str">
        <x:v>UNREVIEWED</x:v>
      </x:c>
      <x:c r="H557" s="17" t="str"/>
      <x:c r="I557" s="17" t="str"/>
      <x:c r="J557" s="17" t="str"/>
      <x:c r="K557" s="17" t="str"/>
      <x:c r="L557" s="17" t="str"/>
      <x:c r="M557" s="17" t="str">
        <x:v>PENDING WHOLE-VIDEO REVIEW</x:v>
      </x:c>
      <x:c r="N557" s="15" t="n">
        <x:v>412</x:v>
      </x:c>
      <x:c r="O557" s="15" t="n">
        <x:v>2551</x:v>
      </x:c>
      <x:c r="P557" s="15" t="n">
        <x:v>733</x:v>
      </x:c>
      <x:c r="Q557" s="13" t="str">
        <x:v>NO_LARGE_TAIL_GAP</x:v>
      </x:c>
      <x:c r="R557" s="13" t="str"/>
      <x:c r="S557" s="16" t="n">
        <x:v>0</x:v>
      </x:c>
      <x:c r="T557" s="13" t="str">
        <x:v>7161476ced835e29176da795c55b233278241b63f69cab3f217017e3084732ab</x:v>
      </x:c>
    </x:row>
    <x:row r="558" ht="15" hidden="0" customHeight="1">
      <x:c r="A558" s="13" t="str">
        <x:v>nT3uKOxLMnQ</x:v>
      </x:c>
      <x:c r="B558" s="13" t="str">
        <x:v>ZM Zoom Earnings 6-2-20 | Best Stock Picks Today</x:v>
      </x:c>
      <x:c r="C558" s="14" t="d">
        <x:v>2020-06-02T00:00:00.000Z</x:v>
      </x:c>
      <x:c r="D558" s="18" t="e">
        <x:f>HYPERLINK("https://www.youtube.com/watch?v=nT3uKOxLMnQ","Watch video")</x:f>
        <x:v>HYPERLINK is not implemented. linkLocation=https://www.youtube.com/watch?v=nT3uKOxLMnQ, friendlyName=Watch video</x:v>
      </x:c>
      <x:c r="E558" s="18" t="e">
        <x:f>HYPERLINK("transcripts/nT3uKOxLMnQ.html","Complete transcript")</x:f>
        <x:v>HYPERLINK is not implemented. linkLocation=transcripts/nT3uKOxLMnQ.html, friendlyName=Complete transcript</x:v>
      </x:c>
      <x:c r="F558" s="13" t="str">
        <x:v>UNKNOWN_REQUIRES_REVIEW</x:v>
      </x:c>
      <x:c r="G558" s="17" t="str">
        <x:v>UNREVIEWED</x:v>
      </x:c>
      <x:c r="H558" s="17" t="str"/>
      <x:c r="I558" s="17" t="str"/>
      <x:c r="J558" s="17" t="str"/>
      <x:c r="K558" s="17" t="str"/>
      <x:c r="L558" s="17" t="str"/>
      <x:c r="M558" s="17" t="str">
        <x:v>PENDING WHOLE-VIDEO REVIEW</x:v>
      </x:c>
      <x:c r="N558" s="15" t="n">
        <x:v>350</x:v>
      </x:c>
      <x:c r="O558" s="15" t="n">
        <x:v>2557</x:v>
      </x:c>
      <x:c r="P558" s="15" t="n">
        <x:v>749</x:v>
      </x:c>
      <x:c r="Q558" s="13" t="str">
        <x:v>NO_LARGE_TAIL_GAP</x:v>
      </x:c>
      <x:c r="R558" s="13" t="str"/>
      <x:c r="S558" s="16" t="n">
        <x:v>0</x:v>
      </x:c>
      <x:c r="T558" s="13" t="str">
        <x:v>febb44a0deaddcc9b408e1e9c91b5774717e9c17d96370d40e299039034d2863</x:v>
      </x:c>
    </x:row>
    <x:row r="559" ht="15" hidden="0" customHeight="1">
      <x:c r="A559" s="13" t="str">
        <x:v>nfDfFD3JQpw</x:v>
      </x:c>
      <x:c r="B559" s="13" t="str">
        <x:v>Winning Trades Made Easy</x:v>
      </x:c>
      <x:c r="C559" s="14" t="d">
        <x:v>2020-06-24T00:00:00.000Z</x:v>
      </x:c>
      <x:c r="D559" s="18" t="e">
        <x:f>HYPERLINK("https://www.youtube.com/watch?v=nfDfFD3JQpw","Watch video")</x:f>
        <x:v>HYPERLINK is not implemented. linkLocation=https://www.youtube.com/watch?v=nfDfFD3JQpw, friendlyName=Watch video</x:v>
      </x:c>
      <x:c r="E559" s="18" t="e">
        <x:f>HYPERLINK("transcripts/nfDfFD3JQpw.html","Complete transcript")</x:f>
        <x:v>HYPERLINK is not implemented. linkLocation=transcripts/nfDfFD3JQpw.html, friendlyName=Complete transcript</x:v>
      </x:c>
      <x:c r="F559" s="13" t="str">
        <x:v>UNKNOWN_REQUIRES_REVIEW</x:v>
      </x:c>
      <x:c r="G559" s="17" t="str">
        <x:v>UNREVIEWED</x:v>
      </x:c>
      <x:c r="H559" s="17" t="str"/>
      <x:c r="I559" s="17" t="str"/>
      <x:c r="J559" s="17" t="str"/>
      <x:c r="K559" s="17" t="str"/>
      <x:c r="L559" s="17" t="str"/>
      <x:c r="M559" s="17" t="str">
        <x:v>PENDING WHOLE-VIDEO REVIEW</x:v>
      </x:c>
      <x:c r="N559" s="15" t="n">
        <x:v>584</x:v>
      </x:c>
      <x:c r="O559" s="15" t="n">
        <x:v>4247</x:v>
      </x:c>
      <x:c r="P559" s="15" t="n">
        <x:v>1223</x:v>
      </x:c>
      <x:c r="Q559" s="13" t="str">
        <x:v>NO_LARGE_TAIL_GAP</x:v>
      </x:c>
      <x:c r="R559" s="13" t="str"/>
      <x:c r="S559" s="16" t="n">
        <x:v>0</x:v>
      </x:c>
      <x:c r="T559" s="13" t="str">
        <x:v>61f0e6628740ce74c55b2f68c2cf38ee00a32d92a743dff02d8c8496d0ba6f91</x:v>
      </x:c>
    </x:row>
    <x:row r="560" ht="15" hidden="0" customHeight="1">
      <x:c r="A560" s="13" t="str">
        <x:v>nfivJdaH9jw</x:v>
      </x:c>
      <x:c r="B560" s="13" t="str">
        <x:v>Best Stock Picks Today | Facebook Day Trades 11-5-20</x:v>
      </x:c>
      <x:c r="C560" s="14" t="d">
        <x:v>2020-11-05T00:00:00.000Z</x:v>
      </x:c>
      <x:c r="D560" s="18" t="e">
        <x:f>HYPERLINK("https://www.youtube.com/watch?v=nfivJdaH9jw","Watch video")</x:f>
        <x:v>HYPERLINK is not implemented. linkLocation=https://www.youtube.com/watch?v=nfivJdaH9jw, friendlyName=Watch video</x:v>
      </x:c>
      <x:c r="E560" s="18" t="e">
        <x:f>HYPERLINK("transcripts/nfivJdaH9jw.html","Complete transcript")</x:f>
        <x:v>HYPERLINK is not implemented. linkLocation=transcripts/nfivJdaH9jw.html, friendlyName=Complete transcript</x:v>
      </x:c>
      <x:c r="F560" s="13" t="str">
        <x:v>PETE_EXPLICIT</x:v>
      </x:c>
      <x:c r="G560" s="17" t="str">
        <x:v>UNREVIEWED</x:v>
      </x:c>
      <x:c r="H560" s="17" t="str"/>
      <x:c r="I560" s="17" t="str"/>
      <x:c r="J560" s="17" t="str"/>
      <x:c r="K560" s="17" t="str"/>
      <x:c r="L560" s="17" t="str"/>
      <x:c r="M560" s="17" t="str">
        <x:v>PENDING WHOLE-VIDEO REVIEW</x:v>
      </x:c>
      <x:c r="N560" s="15" t="n">
        <x:v>350</x:v>
      </x:c>
      <x:c r="O560" s="15" t="n">
        <x:v>2229</x:v>
      </x:c>
      <x:c r="P560" s="15" t="n">
        <x:v>602</x:v>
      </x:c>
      <x:c r="Q560" s="13" t="str">
        <x:v>NO_LARGE_TAIL_GAP</x:v>
      </x:c>
      <x:c r="R560" s="13" t="str"/>
      <x:c r="S560" s="16" t="n">
        <x:v>0</x:v>
      </x:c>
      <x:c r="T560" s="13" t="str">
        <x:v>55ea34f71de21d274b346815e4a100578c92555f9b8c8da908ef8f999d7ad44c</x:v>
      </x:c>
    </x:row>
    <x:row r="561" ht="15" hidden="0" customHeight="1">
      <x:c r="A561" s="13" t="str">
        <x:v>nh_QuaEhQfw</x:v>
      </x:c>
      <x:c r="B561" s="13" t="str">
        <x:v>The Real Reason Traders Can't Follow Their Own Rules</x:v>
      </x:c>
      <x:c r="C561" s="14" t="d">
        <x:v>2026-06-23T00:00:00.000Z</x:v>
      </x:c>
      <x:c r="D561" s="18" t="e">
        <x:f>HYPERLINK("https://www.youtube.com/watch?v=nh_QuaEhQfw","Watch video")</x:f>
        <x:v>HYPERLINK is not implemented. linkLocation=https://www.youtube.com/watch?v=nh_QuaEhQfw, friendlyName=Watch video</x:v>
      </x:c>
      <x:c r="E561" s="18" t="e">
        <x:f>HYPERLINK("transcripts/nh_QuaEhQfw.html","Complete transcript")</x:f>
        <x:v>HYPERLINK is not implemented. linkLocation=transcripts/nh_QuaEhQfw.html, friendlyName=Complete transcript</x:v>
      </x:c>
      <x:c r="F561" s="13" t="str">
        <x:v>UNKNOWN_REQUIRES_REVIEW</x:v>
      </x:c>
      <x:c r="G561" s="17" t="str">
        <x:v>UNREVIEWED</x:v>
      </x:c>
      <x:c r="H561" s="17" t="str"/>
      <x:c r="I561" s="17" t="str"/>
      <x:c r="J561" s="17" t="str"/>
      <x:c r="K561" s="17" t="str"/>
      <x:c r="L561" s="17" t="str"/>
      <x:c r="M561" s="17" t="str">
        <x:v>PENDING WHOLE-VIDEO REVIEW</x:v>
      </x:c>
      <x:c r="N561" s="15" t="n">
        <x:v>280</x:v>
      </x:c>
      <x:c r="O561" s="15" t="n">
        <x:v>1679</x:v>
      </x:c>
      <x:c r="P561" s="15" t="n">
        <x:v>563</x:v>
      </x:c>
      <x:c r="Q561" s="13" t="str">
        <x:v>NO_LARGE_TAIL_GAP</x:v>
      </x:c>
      <x:c r="R561" s="13" t="str"/>
      <x:c r="S561" s="16" t="n">
        <x:v>0</x:v>
      </x:c>
      <x:c r="T561" s="13" t="str">
        <x:v>ac3fe216801d924a7bc456ba6be9c392579f9625713b8e9648c788fe1310348d</x:v>
      </x:c>
    </x:row>
    <x:row r="562" ht="15" hidden="0" customHeight="1">
      <x:c r="A562" s="13" t="str">
        <x:v>nhvmyqqwyd0</x:v>
      </x:c>
      <x:c r="B562" s="13" t="str">
        <x:v>Trading Game Plan 4.9.15 | Stocks to Trade</x:v>
      </x:c>
      <x:c r="C562" s="14" t="d">
        <x:v>2015-04-09T00:00:00.000Z</x:v>
      </x:c>
      <x:c r="D562" s="18" t="e">
        <x:f>HYPERLINK("https://www.youtube.com/watch?v=nhvmyqqwyd0","Watch video")</x:f>
        <x:v>HYPERLINK is not implemented. linkLocation=https://www.youtube.com/watch?v=nhvmyqqwyd0, friendlyName=Watch video</x:v>
      </x:c>
      <x:c r="E562" s="18" t="e">
        <x:f>HYPERLINK("transcripts/nhvmyqqwyd0.html","Complete transcript")</x:f>
        <x:v>HYPERLINK is not implemented. linkLocation=transcripts/nhvmyqqwyd0.html, friendlyName=Complete transcript</x:v>
      </x:c>
      <x:c r="F562" s="13" t="str">
        <x:v>UNKNOWN_REQUIRES_REVIEW</x:v>
      </x:c>
      <x:c r="G562" s="17" t="str">
        <x:v>UNREVIEWED</x:v>
      </x:c>
      <x:c r="H562" s="17" t="str"/>
      <x:c r="I562" s="17" t="str"/>
      <x:c r="J562" s="17" t="str"/>
      <x:c r="K562" s="17" t="str"/>
      <x:c r="L562" s="17" t="str"/>
      <x:c r="M562" s="17" t="str">
        <x:v>PENDING WHOLE-VIDEO REVIEW</x:v>
      </x:c>
      <x:c r="N562" s="15" t="n">
        <x:v>420</x:v>
      </x:c>
      <x:c r="O562" s="15" t="n">
        <x:v>3034</x:v>
      </x:c>
      <x:c r="P562" s="15" t="n">
        <x:v>938</x:v>
      </x:c>
      <x:c r="Q562" s="13" t="str">
        <x:v>NO_LARGE_TAIL_GAP</x:v>
      </x:c>
      <x:c r="R562" s="13" t="str"/>
      <x:c r="S562" s="16" t="n">
        <x:v>0</x:v>
      </x:c>
      <x:c r="T562" s="13" t="str">
        <x:v>5bc77f5ec77202cebf59547eba0c91bf3cd7621ad4af43b9c9dfcd132da8874a</x:v>
      </x:c>
    </x:row>
    <x:row r="563" ht="15" hidden="0" customHeight="1">
      <x:c r="A563" s="13" t="str">
        <x:v>nl-LoIq7yuE</x:v>
      </x:c>
      <x:c r="B563" s="13" t="str">
        <x:v>How to Manage Positions Like a Hedge Fund</x:v>
      </x:c>
      <x:c r="C563" s="14" t="d">
        <x:v>2016-10-01T00:00:00.000Z</x:v>
      </x:c>
      <x:c r="D563" s="18" t="e">
        <x:f>HYPERLINK("https://www.youtube.com/watch?v=nl-LoIq7yuE","Watch video")</x:f>
        <x:v>HYPERLINK is not implemented. linkLocation=https://www.youtube.com/watch?v=nl-LoIq7yuE, friendlyName=Watch video</x:v>
      </x:c>
      <x:c r="E563" s="18" t="e">
        <x:f>HYPERLINK("transcripts/nl-LoIq7yuE.html","Complete transcript")</x:f>
        <x:v>HYPERLINK is not implemented. linkLocation=transcripts/nl-LoIq7yuE.html, friendlyName=Complete transcript</x:v>
      </x:c>
      <x:c r="F563" s="13" t="str">
        <x:v>UNKNOWN_REQUIRES_REVIEW</x:v>
      </x:c>
      <x:c r="G563" s="17" t="str">
        <x:v>UNREVIEWED</x:v>
      </x:c>
      <x:c r="H563" s="17" t="str"/>
      <x:c r="I563" s="17" t="str"/>
      <x:c r="J563" s="17" t="str"/>
      <x:c r="K563" s="17" t="str"/>
      <x:c r="L563" s="17" t="str"/>
      <x:c r="M563" s="17" t="str">
        <x:v>PENDING WHOLE-VIDEO REVIEW</x:v>
      </x:c>
      <x:c r="N563" s="15" t="n">
        <x:v>94</x:v>
      </x:c>
      <x:c r="O563" s="15" t="n">
        <x:v>690</x:v>
      </x:c>
      <x:c r="P563" s="15" t="n">
        <x:v>179</x:v>
      </x:c>
      <x:c r="Q563" s="13" t="str">
        <x:v>NO_LARGE_TAIL_GAP</x:v>
      </x:c>
      <x:c r="R563" s="13" t="str"/>
      <x:c r="S563" s="16" t="n">
        <x:v>0</x:v>
      </x:c>
      <x:c r="T563" s="13" t="str">
        <x:v>9e4a11d0e5628ec17acebd200acd3cecea1b188acea8c5224f2357fef2e6c574</x:v>
      </x:c>
    </x:row>
    <x:row r="564" ht="15" hidden="0" customHeight="1">
      <x:c r="A564" s="13" t="str">
        <x:v>nnWdjgLIjrw</x:v>
      </x:c>
      <x:c r="B564" s="13" t="str">
        <x:v>Best Stock Picks Today | OSTK Bottom? 9-21-20</x:v>
      </x:c>
      <x:c r="C564" s="14" t="d">
        <x:v>2020-09-21T00:00:00.000Z</x:v>
      </x:c>
      <x:c r="D564" s="18" t="e">
        <x:f>HYPERLINK("https://www.youtube.com/watch?v=nnWdjgLIjrw","Watch video")</x:f>
        <x:v>HYPERLINK is not implemented. linkLocation=https://www.youtube.com/watch?v=nnWdjgLIjrw, friendlyName=Watch video</x:v>
      </x:c>
      <x:c r="E564" s="18" t="e">
        <x:f>HYPERLINK("transcripts/nnWdjgLIjrw.html","Complete transcript")</x:f>
        <x:v>HYPERLINK is not implemented. linkLocation=transcripts/nnWdjgLIjrw.html, friendlyName=Complete transcript</x:v>
      </x:c>
      <x:c r="F564" s="13" t="str">
        <x:v>PETE_EXPLICIT</x:v>
      </x:c>
      <x:c r="G564" s="17" t="str">
        <x:v>UNREVIEWED</x:v>
      </x:c>
      <x:c r="H564" s="17" t="str"/>
      <x:c r="I564" s="17" t="str"/>
      <x:c r="J564" s="17" t="str"/>
      <x:c r="K564" s="17" t="str"/>
      <x:c r="L564" s="17" t="str"/>
      <x:c r="M564" s="17" t="str">
        <x:v>PENDING WHOLE-VIDEO REVIEW</x:v>
      </x:c>
      <x:c r="N564" s="15" t="n">
        <x:v>448</x:v>
      </x:c>
      <x:c r="O564" s="15" t="n">
        <x:v>2805</x:v>
      </x:c>
      <x:c r="P564" s="15" t="n">
        <x:v>768</x:v>
      </x:c>
      <x:c r="Q564" s="13" t="str">
        <x:v>NO_LARGE_TAIL_GAP</x:v>
      </x:c>
      <x:c r="R564" s="13" t="str"/>
      <x:c r="S564" s="16" t="n">
        <x:v>0</x:v>
      </x:c>
      <x:c r="T564" s="13" t="str">
        <x:v>951e70910582e1f38b9b8ec7ce2453b54e32c9832b4d733175d8aed3d7a68e5a</x:v>
      </x:c>
    </x:row>
    <x:row r="565" ht="15" hidden="0" customHeight="1">
      <x:c r="A565" s="13" t="str">
        <x:v>nx_FJqhhl34</x:v>
      </x:c>
      <x:c r="B565" s="13" t="str">
        <x:v>Best Stock Picks Today | AMZN Earnings Jeff Bezos 2-3-21</x:v>
      </x:c>
      <x:c r="C565" s="14" t="d">
        <x:v>2021-02-03T00:00:00.000Z</x:v>
      </x:c>
      <x:c r="D565" s="18" t="e">
        <x:f>HYPERLINK("https://www.youtube.com/watch?v=nx_FJqhhl34","Watch video")</x:f>
        <x:v>HYPERLINK is not implemented. linkLocation=https://www.youtube.com/watch?v=nx_FJqhhl34, friendlyName=Watch video</x:v>
      </x:c>
      <x:c r="E565" s="18" t="e">
        <x:f>HYPERLINK("transcripts/nx_FJqhhl34.html","Complete transcript")</x:f>
        <x:v>HYPERLINK is not implemented. linkLocation=transcripts/nx_FJqhhl34.html, friendlyName=Complete transcript</x:v>
      </x:c>
      <x:c r="F565" s="13" t="str">
        <x:v>PETE_EXPLICIT</x:v>
      </x:c>
      <x:c r="G565" s="17" t="str">
        <x:v>UNREVIEWED</x:v>
      </x:c>
      <x:c r="H565" s="17" t="str"/>
      <x:c r="I565" s="17" t="str"/>
      <x:c r="J565" s="17" t="str"/>
      <x:c r="K565" s="17" t="str"/>
      <x:c r="L565" s="17" t="str"/>
      <x:c r="M565" s="17" t="str">
        <x:v>PENDING WHOLE-VIDEO REVIEW</x:v>
      </x:c>
      <x:c r="N565" s="15" t="n">
        <x:v>275</x:v>
      </x:c>
      <x:c r="O565" s="15" t="n">
        <x:v>1740</x:v>
      </x:c>
      <x:c r="P565" s="15" t="n">
        <x:v>486</x:v>
      </x:c>
      <x:c r="Q565" s="13" t="str">
        <x:v>NO_LARGE_TAIL_GAP</x:v>
      </x:c>
      <x:c r="R565" s="13" t="str"/>
      <x:c r="S565" s="16" t="n">
        <x:v>0</x:v>
      </x:c>
      <x:c r="T565" s="13" t="str">
        <x:v>b663fe4fb930a1949a63dbac8f596796c1220b27dc04fae3477d9b7bb0571e21</x:v>
      </x:c>
    </x:row>
    <x:row r="566" ht="15" hidden="0" customHeight="1">
      <x:c r="A566" s="13" t="str">
        <x:v>nyEFYsAbrYg</x:v>
      </x:c>
      <x:c r="B566" s="13" t="str">
        <x:v>Best Stock Picks Today | CRWD Bullish Earnings 12-3-20</x:v>
      </x:c>
      <x:c r="C566" s="14" t="d">
        <x:v>2020-12-03T00:00:00.000Z</x:v>
      </x:c>
      <x:c r="D566" s="18" t="e">
        <x:f>HYPERLINK("https://www.youtube.com/watch?v=nyEFYsAbrYg","Watch video")</x:f>
        <x:v>HYPERLINK is not implemented. linkLocation=https://www.youtube.com/watch?v=nyEFYsAbrYg, friendlyName=Watch video</x:v>
      </x:c>
      <x:c r="E566" s="18" t="e">
        <x:f>HYPERLINK("transcripts/nyEFYsAbrYg.html","Complete transcript")</x:f>
        <x:v>HYPERLINK is not implemented. linkLocation=transcripts/nyEFYsAbrYg.html, friendlyName=Complete transcript</x:v>
      </x:c>
      <x:c r="F566" s="13" t="str">
        <x:v>PETE_EXPLICIT</x:v>
      </x:c>
      <x:c r="G566" s="17" t="str">
        <x:v>UNREVIEWED</x:v>
      </x:c>
      <x:c r="H566" s="17" t="str"/>
      <x:c r="I566" s="17" t="str"/>
      <x:c r="J566" s="17" t="str"/>
      <x:c r="K566" s="17" t="str"/>
      <x:c r="L566" s="17" t="str"/>
      <x:c r="M566" s="17" t="str">
        <x:v>PENDING WHOLE-VIDEO REVIEW</x:v>
      </x:c>
      <x:c r="N566" s="15" t="n">
        <x:v>723</x:v>
      </x:c>
      <x:c r="O566" s="15" t="n">
        <x:v>4527</x:v>
      </x:c>
      <x:c r="P566" s="15" t="n">
        <x:v>1248</x:v>
      </x:c>
      <x:c r="Q566" s="13" t="str">
        <x:v>NO_LARGE_TAIL_GAP</x:v>
      </x:c>
      <x:c r="R566" s="13" t="str"/>
      <x:c r="S566" s="16" t="n">
        <x:v>0</x:v>
      </x:c>
      <x:c r="T566" s="13" t="str">
        <x:v>b086b796121284e0d9e7f1059874f0e3b30249a2cd62ee6938d7d19bcdf57518</x:v>
      </x:c>
    </x:row>
    <x:row r="567" ht="15" hidden="0" customHeight="1">
      <x:c r="A567" s="13" t="str">
        <x:v>nzMAZtgP6Fw</x:v>
      </x:c>
      <x:c r="B567" s="13" t="str">
        <x:v>Market Timing Tips: How to Trade This Week Effectively</x:v>
      </x:c>
      <x:c r="C567" s="14" t="d">
        <x:v>2020-09-22T00:00:00.000Z</x:v>
      </x:c>
      <x:c r="D567" s="18" t="e">
        <x:f>HYPERLINK("https://www.youtube.com/watch?v=nzMAZtgP6Fw","Watch video")</x:f>
        <x:v>HYPERLINK is not implemented. linkLocation=https://www.youtube.com/watch?v=nzMAZtgP6Fw, friendlyName=Watch video</x:v>
      </x:c>
      <x:c r="E567" s="18" t="e">
        <x:f>HYPERLINK("transcripts/nzMAZtgP6Fw.html","Complete transcript")</x:f>
        <x:v>HYPERLINK is not implemented. linkLocation=transcripts/nzMAZtgP6Fw.html, friendlyName=Complete transcript</x:v>
      </x:c>
      <x:c r="F567" s="13" t="str">
        <x:v>PETE_EXPLICIT</x:v>
      </x:c>
      <x:c r="G567" s="17" t="str">
        <x:v>UNREVIEWED</x:v>
      </x:c>
      <x:c r="H567" s="17" t="str"/>
      <x:c r="I567" s="17" t="str"/>
      <x:c r="J567" s="17" t="str"/>
      <x:c r="K567" s="17" t="str"/>
      <x:c r="L567" s="17" t="str"/>
      <x:c r="M567" s="17" t="str">
        <x:v>PENDING WHOLE-VIDEO REVIEW</x:v>
      </x:c>
      <x:c r="N567" s="15" t="n">
        <x:v>436</x:v>
      </x:c>
      <x:c r="O567" s="15" t="n">
        <x:v>2717</x:v>
      </x:c>
      <x:c r="P567" s="15" t="n">
        <x:v>788</x:v>
      </x:c>
      <x:c r="Q567" s="13" t="str">
        <x:v>NO_LARGE_TAIL_GAP</x:v>
      </x:c>
      <x:c r="R567" s="13" t="str"/>
      <x:c r="S567" s="16" t="n">
        <x:v>0</x:v>
      </x:c>
      <x:c r="T567" s="13" t="str">
        <x:v>75c5b3836edaa04901bf916c5da4a41e2115ec74ab09e7a81316e6cef3d64b74</x:v>
      </x:c>
    </x:row>
    <x:row r="568" ht="15" hidden="0" customHeight="1">
      <x:c r="A568" s="13" t="str">
        <x:v>o2P2OJNT-Rk</x:v>
      </x:c>
      <x:c r="B568" s="13" t="str">
        <x:v>Options Trading Basics: How to Manage Risk</x:v>
      </x:c>
      <x:c r="C568" s="14" t="d">
        <x:v>2024-07-10T00:00:00.000Z</x:v>
      </x:c>
      <x:c r="D568" s="18" t="e">
        <x:f>HYPERLINK("https://www.youtube.com/watch?v=o2P2OJNT-Rk","Watch video")</x:f>
        <x:v>HYPERLINK is not implemented. linkLocation=https://www.youtube.com/watch?v=o2P2OJNT-Rk, friendlyName=Watch video</x:v>
      </x:c>
      <x:c r="E568" s="18" t="e">
        <x:f>HYPERLINK("transcripts/o2P2OJNT-Rk.html","Complete transcript")</x:f>
        <x:v>HYPERLINK is not implemented. linkLocation=transcripts/o2P2OJNT-Rk.html, friendlyName=Complete transcript</x:v>
      </x:c>
      <x:c r="F568" s="13" t="str">
        <x:v>UNKNOWN_REQUIRES_REVIEW</x:v>
      </x:c>
      <x:c r="G568" s="17" t="str">
        <x:v>UNREVIEWED</x:v>
      </x:c>
      <x:c r="H568" s="17" t="str"/>
      <x:c r="I568" s="17" t="str"/>
      <x:c r="J568" s="17" t="str"/>
      <x:c r="K568" s="17" t="str"/>
      <x:c r="L568" s="17" t="str"/>
      <x:c r="M568" s="17" t="str">
        <x:v>PENDING WHOLE-VIDEO REVIEW</x:v>
      </x:c>
      <x:c r="N568" s="15" t="n">
        <x:v>192</x:v>
      </x:c>
      <x:c r="O568" s="15" t="n">
        <x:v>1399</x:v>
      </x:c>
      <x:c r="P568" s="15" t="n">
        <x:v>429</x:v>
      </x:c>
      <x:c r="Q568" s="13" t="str">
        <x:v>NO_LARGE_TAIL_GAP</x:v>
      </x:c>
      <x:c r="R568" s="13" t="str"/>
      <x:c r="S568" s="16" t="n">
        <x:v>0</x:v>
      </x:c>
      <x:c r="T568" s="13" t="str">
        <x:v>b354245afe8abc67e2899162a6b9f2e719761d07860ed6a0ae9a62bcd8d9bd2b</x:v>
      </x:c>
    </x:row>
    <x:row r="569" ht="15" hidden="0" customHeight="1">
      <x:c r="A569" s="13" t="str">
        <x:v>oBnasxplchw</x:v>
      </x:c>
      <x:c r="B569" s="13" t="str">
        <x:v>Stock Market Trade Review | Game Plan May 5 2015</x:v>
      </x:c>
      <x:c r="C569" s="14" t="d">
        <x:v>2015-05-05T00:00:00.000Z</x:v>
      </x:c>
      <x:c r="D569" s="18" t="e">
        <x:f>HYPERLINK("https://www.youtube.com/watch?v=oBnasxplchw","Watch video")</x:f>
        <x:v>HYPERLINK is not implemented. linkLocation=https://www.youtube.com/watch?v=oBnasxplchw, friendlyName=Watch video</x:v>
      </x:c>
      <x:c r="E569" s="18" t="e">
        <x:f>HYPERLINK("transcripts/oBnasxplchw.html","Complete transcript")</x:f>
        <x:v>HYPERLINK is not implemented. linkLocation=transcripts/oBnasxplchw.html, friendlyName=Complete transcript</x:v>
      </x:c>
      <x:c r="F569" s="13" t="str">
        <x:v>UNKNOWN_REQUIRES_REVIEW</x:v>
      </x:c>
      <x:c r="G569" s="17" t="str">
        <x:v>UNREVIEWED</x:v>
      </x:c>
      <x:c r="H569" s="17" t="str"/>
      <x:c r="I569" s="17" t="str"/>
      <x:c r="J569" s="17" t="str"/>
      <x:c r="K569" s="17" t="str"/>
      <x:c r="L569" s="17" t="str"/>
      <x:c r="M569" s="17" t="str">
        <x:v>PENDING WHOLE-VIDEO REVIEW</x:v>
      </x:c>
      <x:c r="N569" s="15" t="n">
        <x:v>348</x:v>
      </x:c>
      <x:c r="O569" s="15" t="n">
        <x:v>2575</x:v>
      </x:c>
      <x:c r="P569" s="15" t="n">
        <x:v>711</x:v>
      </x:c>
      <x:c r="Q569" s="13" t="str">
        <x:v>NO_LARGE_TAIL_GAP</x:v>
      </x:c>
      <x:c r="R569" s="13" t="str"/>
      <x:c r="S569" s="16" t="n">
        <x:v>0</x:v>
      </x:c>
      <x:c r="T569" s="13" t="str">
        <x:v>aa55ab521de06a47c654ce49fbc492c3d282b92880855c86c5b9bf678701106a</x:v>
      </x:c>
    </x:row>
    <x:row r="570" ht="15" hidden="0" customHeight="1">
      <x:c r="A570" s="13" t="str">
        <x:v>oK8Bt1-HckE</x:v>
      </x:c>
      <x:c r="B570" s="13" t="str">
        <x:v>Get Price Improvement with the Right Stock Market Order Types</x:v>
      </x:c>
      <x:c r="C570" s="14" t="d">
        <x:v>2020-06-29T00:00:00.000Z</x:v>
      </x:c>
      <x:c r="D570" s="18" t="e">
        <x:f>HYPERLINK("https://www.youtube.com/watch?v=oK8Bt1-HckE","Watch video")</x:f>
        <x:v>HYPERLINK is not implemented. linkLocation=https://www.youtube.com/watch?v=oK8Bt1-HckE, friendlyName=Watch video</x:v>
      </x:c>
      <x:c r="E570" s="18" t="e">
        <x:f>HYPERLINK("transcripts/oK8Bt1-HckE.html","Complete transcript")</x:f>
        <x:v>HYPERLINK is not implemented. linkLocation=transcripts/oK8Bt1-HckE.html, friendlyName=Complete transcript</x:v>
      </x:c>
      <x:c r="F570" s="13" t="str">
        <x:v>PETE_EXPLICIT</x:v>
      </x:c>
      <x:c r="G570" s="17" t="str">
        <x:v>UNREVIEWED</x:v>
      </x:c>
      <x:c r="H570" s="17" t="str"/>
      <x:c r="I570" s="17" t="str"/>
      <x:c r="J570" s="17" t="str"/>
      <x:c r="K570" s="17" t="str"/>
      <x:c r="L570" s="17" t="str"/>
      <x:c r="M570" s="17" t="str">
        <x:v>PENDING WHOLE-VIDEO REVIEW</x:v>
      </x:c>
      <x:c r="N570" s="15" t="n">
        <x:v>491</x:v>
      </x:c>
      <x:c r="O570" s="15" t="n">
        <x:v>3039</x:v>
      </x:c>
      <x:c r="P570" s="15" t="n">
        <x:v>926</x:v>
      </x:c>
      <x:c r="Q570" s="13" t="str">
        <x:v>NO_LARGE_TAIL_GAP</x:v>
      </x:c>
      <x:c r="R570" s="13" t="str"/>
      <x:c r="S570" s="16" t="n">
        <x:v>0</x:v>
      </x:c>
      <x:c r="T570" s="13" t="str">
        <x:v>3e0ead16e65ed0178a4a604b79e44a00e75f4206d7587112258481874cb5ba4b</x:v>
      </x:c>
    </x:row>
    <x:row r="571" ht="15" hidden="0" customHeight="1">
      <x:c r="A571" s="13" t="str">
        <x:v>oKwSf18Zczw</x:v>
      </x:c>
      <x:c r="B571" s="13" t="str">
        <x:v>Best Stock Picks Today | DIS Hits All-Time Highs 12-11-20</x:v>
      </x:c>
      <x:c r="C571" s="14" t="d">
        <x:v>2020-12-11T00:00:00.000Z</x:v>
      </x:c>
      <x:c r="D571" s="18" t="e">
        <x:f>HYPERLINK("https://www.youtube.com/watch?v=oKwSf18Zczw","Watch video")</x:f>
        <x:v>HYPERLINK is not implemented. linkLocation=https://www.youtube.com/watch?v=oKwSf18Zczw, friendlyName=Watch video</x:v>
      </x:c>
      <x:c r="E571" s="18" t="e">
        <x:f>HYPERLINK("transcripts/oKwSf18Zczw.html","Complete transcript")</x:f>
        <x:v>HYPERLINK is not implemented. linkLocation=transcripts/oKwSf18Zczw.html, friendlyName=Complete transcript</x:v>
      </x:c>
      <x:c r="F571" s="13" t="str">
        <x:v>PETE_EXPLICIT</x:v>
      </x:c>
      <x:c r="G571" s="17" t="str">
        <x:v>UNREVIEWED</x:v>
      </x:c>
      <x:c r="H571" s="17" t="str"/>
      <x:c r="I571" s="17" t="str"/>
      <x:c r="J571" s="17" t="str"/>
      <x:c r="K571" s="17" t="str"/>
      <x:c r="L571" s="17" t="str"/>
      <x:c r="M571" s="17" t="str">
        <x:v>PENDING WHOLE-VIDEO REVIEW</x:v>
      </x:c>
      <x:c r="N571" s="15" t="n">
        <x:v>496</x:v>
      </x:c>
      <x:c r="O571" s="15" t="n">
        <x:v>3073</x:v>
      </x:c>
      <x:c r="P571" s="15" t="n">
        <x:v>866</x:v>
      </x:c>
      <x:c r="Q571" s="13" t="str">
        <x:v>NO_LARGE_TAIL_GAP</x:v>
      </x:c>
      <x:c r="R571" s="13" t="str"/>
      <x:c r="S571" s="16" t="n">
        <x:v>0</x:v>
      </x:c>
      <x:c r="T571" s="13" t="str">
        <x:v>1d625caa8fe2eee083956fa65fb92b9c16048048fbce80d681eec6ab59c578d9</x:v>
      </x:c>
    </x:row>
    <x:row r="572" ht="15" hidden="0" customHeight="1">
      <x:c r="A572" s="13" t="str">
        <x:v>oVIR-tAKcAw</x:v>
      </x:c>
      <x:c r="B572" s="13" t="str">
        <x:v>FSLY Stock Plunges | Best Stock Picks Today 10-15-20</x:v>
      </x:c>
      <x:c r="C572" s="14" t="d">
        <x:v>2020-10-15T00:00:00.000Z</x:v>
      </x:c>
      <x:c r="D572" s="18" t="e">
        <x:f>HYPERLINK("https://www.youtube.com/watch?v=oVIR-tAKcAw","Watch video")</x:f>
        <x:v>HYPERLINK is not implemented. linkLocation=https://www.youtube.com/watch?v=oVIR-tAKcAw, friendlyName=Watch video</x:v>
      </x:c>
      <x:c r="E572" s="18" t="e">
        <x:f>HYPERLINK("transcripts/oVIR-tAKcAw.html","Complete transcript")</x:f>
        <x:v>HYPERLINK is not implemented. linkLocation=transcripts/oVIR-tAKcAw.html, friendlyName=Complete transcript</x:v>
      </x:c>
      <x:c r="F572" s="13" t="str">
        <x:v>PETE_EXPLICIT</x:v>
      </x:c>
      <x:c r="G572" s="17" t="str">
        <x:v>UNREVIEWED</x:v>
      </x:c>
      <x:c r="H572" s="17" t="str"/>
      <x:c r="I572" s="17" t="str"/>
      <x:c r="J572" s="17" t="str"/>
      <x:c r="K572" s="17" t="str"/>
      <x:c r="L572" s="17" t="str"/>
      <x:c r="M572" s="17" t="str">
        <x:v>PENDING WHOLE-VIDEO REVIEW</x:v>
      </x:c>
      <x:c r="N572" s="15" t="n">
        <x:v>330</x:v>
      </x:c>
      <x:c r="O572" s="15" t="n">
        <x:v>2060</x:v>
      </x:c>
      <x:c r="P572" s="15" t="n">
        <x:v>584</x:v>
      </x:c>
      <x:c r="Q572" s="13" t="str">
        <x:v>NO_LARGE_TAIL_GAP</x:v>
      </x:c>
      <x:c r="R572" s="13" t="str"/>
      <x:c r="S572" s="16" t="n">
        <x:v>0</x:v>
      </x:c>
      <x:c r="T572" s="13" t="str">
        <x:v>2cf9d5e7e78e3e0ccfefdfef75abcea620e9f380b1b35793f0ada36cbab08444</x:v>
      </x:c>
    </x:row>
    <x:row r="573" ht="15" hidden="0" customHeight="1">
      <x:c r="A573" s="13" t="str">
        <x:v>oX1wQxKA2PU</x:v>
      </x:c>
      <x:c r="B573" s="13" t="str">
        <x:v>Understanding Chart Patterns for Swing Trading Success</x:v>
      </x:c>
      <x:c r="C573" s="14" t="d">
        <x:v>2026-05-11T00:00:00.000Z</x:v>
      </x:c>
      <x:c r="D573" s="18" t="e">
        <x:f>HYPERLINK("https://www.youtube.com/watch?v=oX1wQxKA2PU","Watch video")</x:f>
        <x:v>HYPERLINK is not implemented. linkLocation=https://www.youtube.com/watch?v=oX1wQxKA2PU, friendlyName=Watch video</x:v>
      </x:c>
      <x:c r="E573" s="18" t="e">
        <x:f>HYPERLINK("transcripts/oX1wQxKA2PU.html","Complete transcript")</x:f>
        <x:v>HYPERLINK is not implemented. linkLocation=transcripts/oX1wQxKA2PU.html, friendlyName=Complete transcript</x:v>
      </x:c>
      <x:c r="F573" s="13" t="str">
        <x:v>UNKNOWN_REQUIRES_REVIEW</x:v>
      </x:c>
      <x:c r="G573" s="17" t="str">
        <x:v>UNREVIEWED</x:v>
      </x:c>
      <x:c r="H573" s="17" t="str"/>
      <x:c r="I573" s="17" t="str"/>
      <x:c r="J573" s="17" t="str"/>
      <x:c r="K573" s="17" t="str"/>
      <x:c r="L573" s="17" t="str"/>
      <x:c r="M573" s="17" t="str">
        <x:v>PENDING WHOLE-VIDEO REVIEW</x:v>
      </x:c>
      <x:c r="N573" s="15" t="n">
        <x:v>224</x:v>
      </x:c>
      <x:c r="O573" s="15" t="n">
        <x:v>1362</x:v>
      </x:c>
      <x:c r="P573" s="15" t="n">
        <x:v>463</x:v>
      </x:c>
      <x:c r="Q573" s="13" t="str">
        <x:v>NO_LARGE_TAIL_GAP</x:v>
      </x:c>
      <x:c r="R573" s="13" t="str"/>
      <x:c r="S573" s="16" t="n">
        <x:v>0</x:v>
      </x:c>
      <x:c r="T573" s="13" t="str">
        <x:v>3a25e9dba9d8b03575f3c657a86ab4adc703e25553bf734a5cb7d23ba483aa24</x:v>
      </x:c>
    </x:row>
    <x:row r="574" ht="15" hidden="0" customHeight="1">
      <x:c r="A574" s="13" t="str">
        <x:v>obatakvHoP8</x:v>
      </x:c>
      <x:c r="B574" s="13" t="str">
        <x:v>JPM Earnings | Stocks to Trade | Earnings Season</x:v>
      </x:c>
      <x:c r="C574" s="14" t="d">
        <x:v>2015-04-14T00:00:00.000Z</x:v>
      </x:c>
      <x:c r="D574" s="18" t="e">
        <x:f>HYPERLINK("https://www.youtube.com/watch?v=obatakvHoP8","Watch video")</x:f>
        <x:v>HYPERLINK is not implemented. linkLocation=https://www.youtube.com/watch?v=obatakvHoP8, friendlyName=Watch video</x:v>
      </x:c>
      <x:c r="E574" s="18" t="e">
        <x:f>HYPERLINK("transcripts/obatakvHoP8.html","Complete transcript")</x:f>
        <x:v>HYPERLINK is not implemented. linkLocation=transcripts/obatakvHoP8.html, friendlyName=Complete transcript</x:v>
      </x:c>
      <x:c r="F574" s="13" t="str">
        <x:v>UNKNOWN_REQUIRES_REVIEW</x:v>
      </x:c>
      <x:c r="G574" s="17" t="str">
        <x:v>UNREVIEWED</x:v>
      </x:c>
      <x:c r="H574" s="17" t="str"/>
      <x:c r="I574" s="17" t="str"/>
      <x:c r="J574" s="17" t="str"/>
      <x:c r="K574" s="17" t="str"/>
      <x:c r="L574" s="17" t="str"/>
      <x:c r="M574" s="17" t="str">
        <x:v>PENDING WHOLE-VIDEO REVIEW</x:v>
      </x:c>
      <x:c r="N574" s="15" t="n">
        <x:v>157</x:v>
      </x:c>
      <x:c r="O574" s="15" t="n">
        <x:v>1086</x:v>
      </x:c>
      <x:c r="P574" s="15" t="n">
        <x:v>352</x:v>
      </x:c>
      <x:c r="Q574" s="13" t="str">
        <x:v>NO_LARGE_TAIL_GAP</x:v>
      </x:c>
      <x:c r="R574" s="13" t="str"/>
      <x:c r="S574" s="16" t="n">
        <x:v>0</x:v>
      </x:c>
      <x:c r="T574" s="13" t="str">
        <x:v>06244ba6b4876be52a91b236951bff943def99f9378942fccace8c2f958e3ce9</x:v>
      </x:c>
    </x:row>
    <x:row r="575" ht="15" hidden="0" customHeight="1">
      <x:c r="A575" s="13" t="str">
        <x:v>ovEYVSczkS8</x:v>
      </x:c>
      <x:c r="B575" s="13" t="str">
        <x:v>KMI Earnings | Trading Game Plan 4 13 15 | Stocks to Trade</x:v>
      </x:c>
      <x:c r="C575" s="14" t="d">
        <x:v>2015-04-13T00:00:00.000Z</x:v>
      </x:c>
      <x:c r="D575" s="18" t="e">
        <x:f>HYPERLINK("https://www.youtube.com/watch?v=ovEYVSczkS8","Watch video")</x:f>
        <x:v>HYPERLINK is not implemented. linkLocation=https://www.youtube.com/watch?v=ovEYVSczkS8, friendlyName=Watch video</x:v>
      </x:c>
      <x:c r="E575" s="18" t="e">
        <x:f>HYPERLINK("transcripts/ovEYVSczkS8.html","Complete transcript")</x:f>
        <x:v>HYPERLINK is not implemented. linkLocation=transcripts/ovEYVSczkS8.html, friendlyName=Complete transcript</x:v>
      </x:c>
      <x:c r="F575" s="13" t="str">
        <x:v>UNKNOWN_REQUIRES_REVIEW</x:v>
      </x:c>
      <x:c r="G575" s="17" t="str">
        <x:v>UNREVIEWED</x:v>
      </x:c>
      <x:c r="H575" s="17" t="str"/>
      <x:c r="I575" s="17" t="str"/>
      <x:c r="J575" s="17" t="str"/>
      <x:c r="K575" s="17" t="str"/>
      <x:c r="L575" s="17" t="str"/>
      <x:c r="M575" s="17" t="str">
        <x:v>PENDING WHOLE-VIDEO REVIEW</x:v>
      </x:c>
      <x:c r="N575" s="15" t="n">
        <x:v>168</x:v>
      </x:c>
      <x:c r="O575" s="15" t="n">
        <x:v>1161</x:v>
      </x:c>
      <x:c r="P575" s="15" t="n">
        <x:v>401</x:v>
      </x:c>
      <x:c r="Q575" s="13" t="str">
        <x:v>NO_LARGE_TAIL_GAP</x:v>
      </x:c>
      <x:c r="R575" s="13" t="str"/>
      <x:c r="S575" s="16" t="n">
        <x:v>0</x:v>
      </x:c>
      <x:c r="T575" s="13" t="str">
        <x:v>97e3a5d3d0e71e15fd1821c74f26dae025cacd33dbbcd26266edd200362eb741</x:v>
      </x:c>
    </x:row>
    <x:row r="576" ht="15" hidden="0" customHeight="1">
      <x:c r="A576" s="13" t="str">
        <x:v>p3rUYFAt6k8</x:v>
      </x:c>
      <x:c r="B576" s="13" t="str">
        <x:v>Hedging Strategies, Bear Market Trades And Managing Risk</x:v>
      </x:c>
      <x:c r="C576" s="14" t="d">
        <x:v>2024-08-09T00:00:00.000Z</x:v>
      </x:c>
      <x:c r="D576" s="18" t="e">
        <x:f>HYPERLINK("https://www.youtube.com/watch?v=p3rUYFAt6k8","Watch video")</x:f>
        <x:v>HYPERLINK is not implemented. linkLocation=https://www.youtube.com/watch?v=p3rUYFAt6k8, friendlyName=Watch video</x:v>
      </x:c>
      <x:c r="E576" s="18" t="e">
        <x:f>HYPERLINK("transcripts/p3rUYFAt6k8.html","Complete transcript")</x:f>
        <x:v>HYPERLINK is not implemented. linkLocation=transcripts/p3rUYFAt6k8.html, friendlyName=Complete transcript</x:v>
      </x:c>
      <x:c r="F576" s="13" t="str">
        <x:v>UNKNOWN_REQUIRES_REVIEW</x:v>
      </x:c>
      <x:c r="G576" s="17" t="str">
        <x:v>UNREVIEWED</x:v>
      </x:c>
      <x:c r="H576" s="17" t="str"/>
      <x:c r="I576" s="17" t="str"/>
      <x:c r="J576" s="17" t="str"/>
      <x:c r="K576" s="17" t="str"/>
      <x:c r="L576" s="17" t="str"/>
      <x:c r="M576" s="17" t="str">
        <x:v>PENDING WHOLE-VIDEO REVIEW</x:v>
      </x:c>
      <x:c r="N576" s="15" t="n">
        <x:v>963</x:v>
      </x:c>
      <x:c r="O576" s="15" t="n">
        <x:v>7124</x:v>
      </x:c>
      <x:c r="P576" s="15" t="n">
        <x:v>1989</x:v>
      </x:c>
      <x:c r="Q576" s="13" t="str">
        <x:v>NO_LARGE_TAIL_GAP</x:v>
      </x:c>
      <x:c r="R576" s="13" t="str"/>
      <x:c r="S576" s="16" t="n">
        <x:v>0</x:v>
      </x:c>
      <x:c r="T576" s="13" t="str">
        <x:v>5c0dc3abc338d4224fe814e7a38eb7913ed1135704c123ee22ef8bde02343731</x:v>
      </x:c>
    </x:row>
    <x:row r="577" ht="15" hidden="0" customHeight="1">
      <x:c r="A577" s="13" t="str">
        <x:v>pDn5Dr9vTqw</x:v>
      </x:c>
      <x:c r="B577" s="13" t="str">
        <x:v>Bullish Chart Patterns | 4-14-20 Stocks for Breakfast</x:v>
      </x:c>
      <x:c r="C577" s="14" t="d">
        <x:v>2020-04-14T00:00:00.000Z</x:v>
      </x:c>
      <x:c r="D577" s="18" t="e">
        <x:f>HYPERLINK("https://www.youtube.com/watch?v=pDn5Dr9vTqw","Watch video")</x:f>
        <x:v>HYPERLINK is not implemented. linkLocation=https://www.youtube.com/watch?v=pDn5Dr9vTqw, friendlyName=Watch video</x:v>
      </x:c>
      <x:c r="E577" s="18" t="e">
        <x:f>HYPERLINK("transcripts/pDn5Dr9vTqw.html","Complete transcript")</x:f>
        <x:v>HYPERLINK is not implemented. linkLocation=transcripts/pDn5Dr9vTqw.html, friendlyName=Complete transcript</x:v>
      </x:c>
      <x:c r="F577" s="13" t="str">
        <x:v>UNKNOWN_REQUIRES_REVIEW</x:v>
      </x:c>
      <x:c r="G577" s="17" t="str">
        <x:v>UNREVIEWED</x:v>
      </x:c>
      <x:c r="H577" s="17" t="str"/>
      <x:c r="I577" s="17" t="str"/>
      <x:c r="J577" s="17" t="str"/>
      <x:c r="K577" s="17" t="str"/>
      <x:c r="L577" s="17" t="str"/>
      <x:c r="M577" s="17" t="str">
        <x:v>PENDING WHOLE-VIDEO REVIEW</x:v>
      </x:c>
      <x:c r="N577" s="15" t="n">
        <x:v>769</x:v>
      </x:c>
      <x:c r="O577" s="15" t="n">
        <x:v>5691</x:v>
      </x:c>
      <x:c r="P577" s="15" t="n">
        <x:v>1679</x:v>
      </x:c>
      <x:c r="Q577" s="13" t="str">
        <x:v>NO_LARGE_TAIL_GAP</x:v>
      </x:c>
      <x:c r="R577" s="13" t="str"/>
      <x:c r="S577" s="16" t="n">
        <x:v>0</x:v>
      </x:c>
      <x:c r="T577" s="13" t="str">
        <x:v>4be78824d2a8ed1f162e94915491b6bfbefdd185452a66f5f85638f70ad9978b</x:v>
      </x:c>
    </x:row>
    <x:row r="578" ht="15" hidden="0" customHeight="1">
      <x:c r="A578" s="13" t="str">
        <x:v>pYIrO-3MK7M</x:v>
      </x:c>
      <x:c r="B578" s="13" t="str">
        <x:v>Stock Trading Strategies | Risk Reward</x:v>
      </x:c>
      <x:c r="C578" s="14" t="d">
        <x:v>2020-11-18T00:00:00.000Z</x:v>
      </x:c>
      <x:c r="D578" s="18" t="e">
        <x:f>HYPERLINK("https://www.youtube.com/watch?v=pYIrO-3MK7M","Watch video")</x:f>
        <x:v>HYPERLINK is not implemented. linkLocation=https://www.youtube.com/watch?v=pYIrO-3MK7M, friendlyName=Watch video</x:v>
      </x:c>
      <x:c r="E578" s="18" t="e">
        <x:f>HYPERLINK("transcripts/pYIrO-3MK7M.html","Complete transcript")</x:f>
        <x:v>HYPERLINK is not implemented. linkLocation=transcripts/pYIrO-3MK7M.html, friendlyName=Complete transcript</x:v>
      </x:c>
      <x:c r="F578" s="13" t="str">
        <x:v>PETE_EXPLICIT</x:v>
      </x:c>
      <x:c r="G578" s="17" t="str">
        <x:v>UNREVIEWED</x:v>
      </x:c>
      <x:c r="H578" s="17" t="str"/>
      <x:c r="I578" s="17" t="str"/>
      <x:c r="J578" s="17" t="str"/>
      <x:c r="K578" s="17" t="str"/>
      <x:c r="L578" s="17" t="str"/>
      <x:c r="M578" s="17" t="str">
        <x:v>PENDING WHOLE-VIDEO REVIEW</x:v>
      </x:c>
      <x:c r="N578" s="15" t="n">
        <x:v>88</x:v>
      </x:c>
      <x:c r="O578" s="15" t="n">
        <x:v>2175</x:v>
      </x:c>
      <x:c r="P578" s="15" t="n">
        <x:v>613</x:v>
      </x:c>
      <x:c r="Q578" s="13" t="str">
        <x:v>NO_LARGE_TAIL_GAP</x:v>
      </x:c>
      <x:c r="R578" s="13" t="str"/>
      <x:c r="S578" s="16" t="n">
        <x:v>0</x:v>
      </x:c>
      <x:c r="T578" s="13" t="str">
        <x:v>28e2a3745b55e921bfb3ca89ee0349304ed0f9c3c27483c7303a90e35dfba634</x:v>
      </x:c>
    </x:row>
    <x:row r="579" ht="15" hidden="0" customHeight="1">
      <x:c r="A579" s="13" t="str">
        <x:v>pbYPeU7hm9g</x:v>
      </x:c>
      <x:c r="B579" s="13" t="str">
        <x:v>Smart Money Alerts | Free Daily Stock Picks | Sign up for the free E-Letter today.</x:v>
      </x:c>
      <x:c r="C579" s="14" t="d">
        <x:v>2020-03-02T00:00:00.000Z</x:v>
      </x:c>
      <x:c r="D579" s="18" t="e">
        <x:f>HYPERLINK("https://www.youtube.com/watch?v=pbYPeU7hm9g","Watch video")</x:f>
        <x:v>HYPERLINK is not implemented. linkLocation=https://www.youtube.com/watch?v=pbYPeU7hm9g, friendlyName=Watch video</x:v>
      </x:c>
      <x:c r="E579" s="18" t="e">
        <x:f>HYPERLINK("transcripts/pbYPeU7hm9g.html","Complete transcript")</x:f>
        <x:v>HYPERLINK is not implemented. linkLocation=transcripts/pbYPeU7hm9g.html, friendlyName=Complete transcript</x:v>
      </x:c>
      <x:c r="F579" s="13" t="str">
        <x:v>PETE_EXPLICIT</x:v>
      </x:c>
      <x:c r="G579" s="17" t="str">
        <x:v>UNREVIEWED</x:v>
      </x:c>
      <x:c r="H579" s="17" t="str"/>
      <x:c r="I579" s="17" t="str"/>
      <x:c r="J579" s="17" t="str"/>
      <x:c r="K579" s="17" t="str"/>
      <x:c r="L579" s="17" t="str"/>
      <x:c r="M579" s="17" t="str">
        <x:v>PENDING WHOLE-VIDEO REVIEW</x:v>
      </x:c>
      <x:c r="N579" s="15" t="n">
        <x:v>62</x:v>
      </x:c>
      <x:c r="O579" s="15" t="n">
        <x:v>433</x:v>
      </x:c>
      <x:c r="P579" s="15" t="n">
        <x:v>164</x:v>
      </x:c>
      <x:c r="Q579" s="13" t="str">
        <x:v>NO_LARGE_TAIL_GAP</x:v>
      </x:c>
      <x:c r="R579" s="13" t="str"/>
      <x:c r="S579" s="16" t="n">
        <x:v>0</x:v>
      </x:c>
      <x:c r="T579" s="13" t="str">
        <x:v>e24db2938011561837d8412170d52d50535a65f11a3dc58444d0125ed019d6c7</x:v>
      </x:c>
    </x:row>
    <x:row r="580" ht="15" hidden="0" customHeight="1">
      <x:c r="A580" s="13" t="str">
        <x:v>pboPl5SV11k</x:v>
      </x:c>
      <x:c r="B580" s="13" t="str">
        <x:v>Trading Game Plan Meeting June 29</x:v>
      </x:c>
      <x:c r="C580" s="14" t="d">
        <x:v>2015-06-30T00:00:00.000Z</x:v>
      </x:c>
      <x:c r="D580" s="18" t="e">
        <x:f>HYPERLINK("https://www.youtube.com/watch?v=pboPl5SV11k","Watch video")</x:f>
        <x:v>HYPERLINK is not implemented. linkLocation=https://www.youtube.com/watch?v=pboPl5SV11k, friendlyName=Watch video</x:v>
      </x:c>
      <x:c r="E580" s="18" t="e">
        <x:f>HYPERLINK("transcripts/pboPl5SV11k.html","Complete transcript")</x:f>
        <x:v>HYPERLINK is not implemented. linkLocation=transcripts/pboPl5SV11k.html, friendlyName=Complete transcript</x:v>
      </x:c>
      <x:c r="F580" s="13" t="str">
        <x:v>UNKNOWN_REQUIRES_REVIEW</x:v>
      </x:c>
      <x:c r="G580" s="17" t="str">
        <x:v>UNREVIEWED</x:v>
      </x:c>
      <x:c r="H580" s="17" t="str"/>
      <x:c r="I580" s="17" t="str"/>
      <x:c r="J580" s="17" t="str"/>
      <x:c r="K580" s="17" t="str"/>
      <x:c r="L580" s="17" t="str"/>
      <x:c r="M580" s="17" t="str">
        <x:v>PENDING WHOLE-VIDEO REVIEW</x:v>
      </x:c>
      <x:c r="N580" s="15" t="n">
        <x:v>1516</x:v>
      </x:c>
      <x:c r="O580" s="15" t="n">
        <x:v>10466</x:v>
      </x:c>
      <x:c r="P580" s="15" t="n">
        <x:v>3617</x:v>
      </x:c>
      <x:c r="Q580" s="13" t="str">
        <x:v>NO_LARGE_TAIL_GAP</x:v>
      </x:c>
      <x:c r="R580" s="13" t="str"/>
      <x:c r="S580" s="16" t="n">
        <x:v>0</x:v>
      </x:c>
      <x:c r="T580" s="13" t="str">
        <x:v>74ff9259c077e9f4149968c73be78d9089c74f990fef2c2124ca3cd15a49b9b1</x:v>
      </x:c>
    </x:row>
    <x:row r="581" ht="15" hidden="0" customHeight="1">
      <x:c r="A581" s="13" t="str">
        <x:v>plADgGGrOr0</x:v>
      </x:c>
      <x:c r="B581" s="13" t="str">
        <x:v>Level 1 &amp; Level 2 Quotes Explained: Gain an Edge in Stock Trading</x:v>
      </x:c>
      <x:c r="C581" s="14" t="d">
        <x:v>2015-06-29T00:00:00.000Z</x:v>
      </x:c>
      <x:c r="D581" s="18" t="e">
        <x:f>HYPERLINK("https://www.youtube.com/watch?v=plADgGGrOr0","Watch video")</x:f>
        <x:v>HYPERLINK is not implemented. linkLocation=https://www.youtube.com/watch?v=plADgGGrOr0, friendlyName=Watch video</x:v>
      </x:c>
      <x:c r="E581" s="18" t="e">
        <x:f>HYPERLINK("transcripts/plADgGGrOr0.html","Complete transcript")</x:f>
        <x:v>HYPERLINK is not implemented. linkLocation=transcripts/plADgGGrOr0.html, friendlyName=Complete transcript</x:v>
      </x:c>
      <x:c r="F581" s="13" t="str">
        <x:v>UNKNOWN_REQUIRES_REVIEW</x:v>
      </x:c>
      <x:c r="G581" s="17" t="str">
        <x:v>UNREVIEWED</x:v>
      </x:c>
      <x:c r="H581" s="17" t="str"/>
      <x:c r="I581" s="17" t="str"/>
      <x:c r="J581" s="17" t="str"/>
      <x:c r="K581" s="17" t="str"/>
      <x:c r="L581" s="17" t="str"/>
      <x:c r="M581" s="17" t="str">
        <x:v>PENDING WHOLE-VIDEO REVIEW</x:v>
      </x:c>
      <x:c r="N581" s="15" t="n">
        <x:v>209</x:v>
      </x:c>
      <x:c r="O581" s="15" t="n">
        <x:v>1475</x:v>
      </x:c>
      <x:c r="P581" s="15" t="n">
        <x:v>508</x:v>
      </x:c>
      <x:c r="Q581" s="13" t="str">
        <x:v>NO_LARGE_TAIL_GAP</x:v>
      </x:c>
      <x:c r="R581" s="13" t="str"/>
      <x:c r="S581" s="16" t="n">
        <x:v>0</x:v>
      </x:c>
      <x:c r="T581" s="13" t="str">
        <x:v>0786ec31b8a4cceded7fa2be926d51f16073da49ff2533e6a7dbeaccdd5e154d</x:v>
      </x:c>
    </x:row>
    <x:row r="582" ht="15" hidden="0" customHeight="1">
      <x:c r="A582" s="13" t="str">
        <x:v>pn7O-rcxUkA</x:v>
      </x:c>
      <x:c r="B582" s="13" t="str">
        <x:v>How to Edit Your Trading Game Plan so You can Maximize Profits</x:v>
      </x:c>
      <x:c r="C582" s="14" t="d">
        <x:v>2015-05-21T00:00:00.000Z</x:v>
      </x:c>
      <x:c r="D582" s="18" t="e">
        <x:f>HYPERLINK("https://www.youtube.com/watch?v=pn7O-rcxUkA","Watch video")</x:f>
        <x:v>HYPERLINK is not implemented. linkLocation=https://www.youtube.com/watch?v=pn7O-rcxUkA, friendlyName=Watch video</x:v>
      </x:c>
      <x:c r="E582" s="18" t="e">
        <x:f>HYPERLINK("transcripts/pn7O-rcxUkA.html","Complete transcript")</x:f>
        <x:v>HYPERLINK is not implemented. linkLocation=transcripts/pn7O-rcxUkA.html, friendlyName=Complete transcript</x:v>
      </x:c>
      <x:c r="F582" s="13" t="str">
        <x:v>UNKNOWN_REQUIRES_REVIEW</x:v>
      </x:c>
      <x:c r="G582" s="17" t="str">
        <x:v>UNREVIEWED</x:v>
      </x:c>
      <x:c r="H582" s="17" t="str"/>
      <x:c r="I582" s="17" t="str"/>
      <x:c r="J582" s="17" t="str"/>
      <x:c r="K582" s="17" t="str"/>
      <x:c r="L582" s="17" t="str"/>
      <x:c r="M582" s="17" t="str">
        <x:v>PENDING WHOLE-VIDEO REVIEW</x:v>
      </x:c>
      <x:c r="N582" s="15" t="n">
        <x:v>168</x:v>
      </x:c>
      <x:c r="O582" s="15" t="n">
        <x:v>1242</x:v>
      </x:c>
      <x:c r="P582" s="15" t="n">
        <x:v>370</x:v>
      </x:c>
      <x:c r="Q582" s="13" t="str">
        <x:v>NO_LARGE_TAIL_GAP</x:v>
      </x:c>
      <x:c r="R582" s="13" t="str"/>
      <x:c r="S582" s="16" t="n">
        <x:v>0</x:v>
      </x:c>
      <x:c r="T582" s="13" t="str">
        <x:v>6f5a5a594f4f1c983aa46bc7c73f8ba85f776a7d6be1bd03f78f6616ec684a0d</x:v>
      </x:c>
    </x:row>
    <x:row r="583" ht="15" hidden="0" customHeight="1">
      <x:c r="A583" s="13" t="str">
        <x:v>pnVoGAlt4zg</x:v>
      </x:c>
      <x:c r="B583" s="13" t="str">
        <x:v>6 Steps to Consistent Options Trading Success</x:v>
      </x:c>
      <x:c r="C583" s="14" t="d">
        <x:v>2024-07-10T00:00:00.000Z</x:v>
      </x:c>
      <x:c r="D583" s="18" t="e">
        <x:f>HYPERLINK("https://www.youtube.com/watch?v=pnVoGAlt4zg","Watch video")</x:f>
        <x:v>HYPERLINK is not implemented. linkLocation=https://www.youtube.com/watch?v=pnVoGAlt4zg, friendlyName=Watch video</x:v>
      </x:c>
      <x:c r="E583" s="18" t="e">
        <x:f>HYPERLINK("transcripts/pnVoGAlt4zg.html","Complete transcript")</x:f>
        <x:v>HYPERLINK is not implemented. linkLocation=transcripts/pnVoGAlt4zg.html, friendlyName=Complete transcript</x:v>
      </x:c>
      <x:c r="F583" s="13" t="str">
        <x:v>NON_PETE_EXPLICIT_JOHN</x:v>
      </x:c>
      <x:c r="G583" s="17" t="str">
        <x:v>UNREVIEWED</x:v>
      </x:c>
      <x:c r="H583" s="17" t="str"/>
      <x:c r="I583" s="17" t="str"/>
      <x:c r="J583" s="17" t="str"/>
      <x:c r="K583" s="17" t="str"/>
      <x:c r="L583" s="17" t="str"/>
      <x:c r="M583" s="17" t="str">
        <x:v>PENDING WHOLE-VIDEO REVIEW</x:v>
      </x:c>
      <x:c r="N583" s="15" t="n">
        <x:v>220</x:v>
      </x:c>
      <x:c r="O583" s="15" t="n">
        <x:v>1616</x:v>
      </x:c>
      <x:c r="P583" s="15" t="n">
        <x:v>483</x:v>
      </x:c>
      <x:c r="Q583" s="13" t="str">
        <x:v>NO_LARGE_TAIL_GAP</x:v>
      </x:c>
      <x:c r="R583" s="13" t="str"/>
      <x:c r="S583" s="16" t="n">
        <x:v>0</x:v>
      </x:c>
      <x:c r="T583" s="13" t="str">
        <x:v>0ec28b97fb815bc43c84718c95258c5ecaa7d94dc52404ee83df4b592802955f</x:v>
      </x:c>
    </x:row>
    <x:row r="584" ht="24" hidden="0" customHeight="1">
      <x:c r="A584" s="13" t="str">
        <x:v>pu2nSm7BmI0</x:v>
      </x:c>
      <x:c r="B584" s="13" t="str">
        <x:v>Deconstructing Stock Rallies: Short Squeezes vs Accumulation</x:v>
      </x:c>
      <x:c r="C584" s="14" t="d">
        <x:v>2015-06-10T00:00:00.000Z</x:v>
      </x:c>
      <x:c r="D584" s="18" t="e">
        <x:f>HYPERLINK("https://www.youtube.com/watch?v=pu2nSm7BmI0","Watch video")</x:f>
        <x:v>HYPERLINK is not implemented. linkLocation=https://www.youtube.com/watch?v=pu2nSm7BmI0, friendlyName=Watch video</x:v>
      </x:c>
      <x:c r="E584" s="18" t="e">
        <x:f>HYPERLINK("transcripts/pu2nSm7BmI0.html","Complete transcript")</x:f>
        <x:v>HYPERLINK is not implemented. linkLocation=transcripts/pu2nSm7BmI0.html, friendlyName=Complete transcript</x:v>
      </x:c>
      <x:c r="F584" s="13" t="str">
        <x:v>UNKNOWN_REQUIRES_REVIEW</x:v>
      </x:c>
      <x:c r="G584" s="17" t="str">
        <x:v>Conversational chart review</x:v>
      </x:c>
      <x:c r="H584" s="17" t="str">
        <x:v>Short covering versus accumulation</x:v>
      </x:c>
      <x:c r="I584" s="17" t="str">
        <x:v>Contrasts a fast rally that reverses with a more organized rally holding a pause and relates the interpretation to future expectations.</x:v>
      </x:c>
      <x:c r="J584" s="17" t="str">
        <x:v>Order flow; price structure; trade expectation</x:v>
      </x:c>
      <x:c r="K584" s="17" t="str">
        <x:v>Multi-speaker exchange comparing specific charts; heuristic interpretation, not verified participant-flow data.</x:v>
      </x:c>
      <x:c r="L584" s="17" t="str">
        <x:v>Visual review required; passage-level speaker attribution unresolved.</x:v>
      </x:c>
      <x:c r="M584" s="17" t="str">
        <x:v>WHOLE TRANSCRIPT READ — visuals pending</x:v>
      </x:c>
      <x:c r="N584" s="15" t="n">
        <x:v>66</x:v>
      </x:c>
      <x:c r="O584" s="15" t="n">
        <x:v>465</x:v>
      </x:c>
      <x:c r="P584" s="15" t="n">
        <x:v>122</x:v>
      </x:c>
      <x:c r="Q584" s="13" t="str">
        <x:v>NO_LARGE_TAIL_GAP</x:v>
      </x:c>
      <x:c r="R584" s="13" t="str"/>
      <x:c r="S584" s="16" t="n">
        <x:v>2</x:v>
      </x:c>
      <x:c r="T584" s="13" t="str">
        <x:v>924ae3ba656e11405d4ec14bbf7ed64aa0f4d3d3810c5f4d1466502a834616a1</x:v>
      </x:c>
    </x:row>
    <x:row r="585" ht="15" hidden="0" customHeight="1">
      <x:c r="A585" s="13" t="str">
        <x:v>pvhwbr9YmQE</x:v>
      </x:c>
      <x:c r="B585" s="13" t="str">
        <x:v>Best Stock Picks Today | SHLL Stock 8-25-20</x:v>
      </x:c>
      <x:c r="C585" s="14" t="d">
        <x:v>2020-08-25T00:00:00.000Z</x:v>
      </x:c>
      <x:c r="D585" s="18" t="e">
        <x:f>HYPERLINK("https://www.youtube.com/watch?v=pvhwbr9YmQE","Watch video")</x:f>
        <x:v>HYPERLINK is not implemented. linkLocation=https://www.youtube.com/watch?v=pvhwbr9YmQE, friendlyName=Watch video</x:v>
      </x:c>
      <x:c r="E585" s="18" t="e">
        <x:f>HYPERLINK("transcripts/pvhwbr9YmQE.html","Complete transcript")</x:f>
        <x:v>HYPERLINK is not implemented. linkLocation=transcripts/pvhwbr9YmQE.html, friendlyName=Complete transcript</x:v>
      </x:c>
      <x:c r="F585" s="13" t="str">
        <x:v>PETE_EXPLICIT</x:v>
      </x:c>
      <x:c r="G585" s="17" t="str">
        <x:v>UNREVIEWED</x:v>
      </x:c>
      <x:c r="H585" s="17" t="str"/>
      <x:c r="I585" s="17" t="str"/>
      <x:c r="J585" s="17" t="str"/>
      <x:c r="K585" s="17" t="str"/>
      <x:c r="L585" s="17" t="str"/>
      <x:c r="M585" s="17" t="str">
        <x:v>PENDING WHOLE-VIDEO REVIEW</x:v>
      </x:c>
      <x:c r="N585" s="15" t="n">
        <x:v>342</x:v>
      </x:c>
      <x:c r="O585" s="15" t="n">
        <x:v>2119</x:v>
      </x:c>
      <x:c r="P585" s="15" t="n">
        <x:v>600</x:v>
      </x:c>
      <x:c r="Q585" s="13" t="str">
        <x:v>NO_LARGE_TAIL_GAP</x:v>
      </x:c>
      <x:c r="R585" s="13" t="str"/>
      <x:c r="S585" s="16" t="n">
        <x:v>0</x:v>
      </x:c>
      <x:c r="T585" s="13" t="str">
        <x:v>206cb4fb644910c8d1e115f9b390f6741a0c158646a939e2b6f79b4c515f524d</x:v>
      </x:c>
    </x:row>
    <x:row r="586" ht="15" hidden="0" customHeight="1">
      <x:c r="A586" s="13" t="str">
        <x:v>pyokRflWu9Q</x:v>
      </x:c>
      <x:c r="B586" s="13" t="str">
        <x:v>Day Trading for a Living | 5-4-20 Stocks for Breakfast</x:v>
      </x:c>
      <x:c r="C586" s="14" t="d">
        <x:v>2020-05-04T00:00:00.000Z</x:v>
      </x:c>
      <x:c r="D586" s="18" t="e">
        <x:f>HYPERLINK("https://www.youtube.com/watch?v=pyokRflWu9Q","Watch video")</x:f>
        <x:v>HYPERLINK is not implemented. linkLocation=https://www.youtube.com/watch?v=pyokRflWu9Q, friendlyName=Watch video</x:v>
      </x:c>
      <x:c r="E586" s="18" t="e">
        <x:f>HYPERLINK("transcripts/pyokRflWu9Q.html","Complete transcript")</x:f>
        <x:v>HYPERLINK is not implemented. linkLocation=transcripts/pyokRflWu9Q.html, friendlyName=Complete transcript</x:v>
      </x:c>
      <x:c r="F586" s="13" t="str">
        <x:v>PETE_EXPLICIT</x:v>
      </x:c>
      <x:c r="G586" s="17" t="str">
        <x:v>UNREVIEWED</x:v>
      </x:c>
      <x:c r="H586" s="17" t="str"/>
      <x:c r="I586" s="17" t="str"/>
      <x:c r="J586" s="17" t="str"/>
      <x:c r="K586" s="17" t="str"/>
      <x:c r="L586" s="17" t="str"/>
      <x:c r="M586" s="17" t="str">
        <x:v>PENDING WHOLE-VIDEO REVIEW</x:v>
      </x:c>
      <x:c r="N586" s="15" t="n">
        <x:v>570</x:v>
      </x:c>
      <x:c r="O586" s="15" t="n">
        <x:v>4133</x:v>
      </x:c>
      <x:c r="P586" s="15" t="n">
        <x:v>1369</x:v>
      </x:c>
      <x:c r="Q586" s="13" t="str">
        <x:v>NO_LARGE_TAIL_GAP</x:v>
      </x:c>
      <x:c r="R586" s="13" t="str"/>
      <x:c r="S586" s="16" t="n">
        <x:v>0</x:v>
      </x:c>
      <x:c r="T586" s="13" t="str">
        <x:v>b175f105323da3dcc4585478b92525cd81bc5fcae359029bc110391251f99629</x:v>
      </x:c>
    </x:row>
    <x:row r="587" ht="15" hidden="0" customHeight="1">
      <x:c r="A587" s="13" t="str">
        <x:v>q8dgSQ2_0p8</x:v>
      </x:c>
      <x:c r="B587" s="13" t="str">
        <x:v>Should a Day Trader Buy Bad News? | Stocks for Breakfast 3 23 20</x:v>
      </x:c>
      <x:c r="C587" s="14" t="d">
        <x:v>2020-03-23T00:00:00.000Z</x:v>
      </x:c>
      <x:c r="D587" s="18" t="e">
        <x:f>HYPERLINK("https://www.youtube.com/watch?v=q8dgSQ2_0p8","Watch video")</x:f>
        <x:v>HYPERLINK is not implemented. linkLocation=https://www.youtube.com/watch?v=q8dgSQ2_0p8, friendlyName=Watch video</x:v>
      </x:c>
      <x:c r="E587" s="18" t="e">
        <x:f>HYPERLINK("transcripts/q8dgSQ2_0p8.html","Complete transcript")</x:f>
        <x:v>HYPERLINK is not implemented. linkLocation=transcripts/q8dgSQ2_0p8.html, friendlyName=Complete transcript</x:v>
      </x:c>
      <x:c r="F587" s="13" t="str">
        <x:v>PETE_EXPLICIT</x:v>
      </x:c>
      <x:c r="G587" s="17" t="str">
        <x:v>UNREVIEWED</x:v>
      </x:c>
      <x:c r="H587" s="17" t="str"/>
      <x:c r="I587" s="17" t="str"/>
      <x:c r="J587" s="17" t="str"/>
      <x:c r="K587" s="17" t="str"/>
      <x:c r="L587" s="17" t="str"/>
      <x:c r="M587" s="17" t="str">
        <x:v>PENDING WHOLE-VIDEO REVIEW</x:v>
      </x:c>
      <x:c r="N587" s="15" t="n">
        <x:v>579</x:v>
      </x:c>
      <x:c r="O587" s="15" t="n">
        <x:v>4217</x:v>
      </x:c>
      <x:c r="P587" s="15" t="n">
        <x:v>1236</x:v>
      </x:c>
      <x:c r="Q587" s="13" t="str">
        <x:v>NO_LARGE_TAIL_GAP</x:v>
      </x:c>
      <x:c r="R587" s="13" t="str"/>
      <x:c r="S587" s="16" t="n">
        <x:v>0</x:v>
      </x:c>
      <x:c r="T587" s="13" t="str">
        <x:v>19c1350c18b33a36bdc55dcd7b420cb485d6987b62ec3e7bad4ac56cc97a0cc9</x:v>
      </x:c>
    </x:row>
    <x:row r="588" ht="15" hidden="0" customHeight="1">
      <x:c r="A588" s="13" t="str">
        <x:v>qGG3K7WoeyA</x:v>
      </x:c>
      <x:c r="B588" s="13" t="str">
        <x:v>Trading Plan Share Size | Stocks for Breakfast 8-4-20</x:v>
      </x:c>
      <x:c r="C588" s="14" t="d">
        <x:v>2020-08-04T00:00:00.000Z</x:v>
      </x:c>
      <x:c r="D588" s="18" t="e">
        <x:f>HYPERLINK("https://www.youtube.com/watch?v=qGG3K7WoeyA","Watch video")</x:f>
        <x:v>HYPERLINK is not implemented. linkLocation=https://www.youtube.com/watch?v=qGG3K7WoeyA, friendlyName=Watch video</x:v>
      </x:c>
      <x:c r="E588" s="18" t="e">
        <x:f>HYPERLINK("transcripts/qGG3K7WoeyA.html","Complete transcript")</x:f>
        <x:v>HYPERLINK is not implemented. linkLocation=transcripts/qGG3K7WoeyA.html, friendlyName=Complete transcript</x:v>
      </x:c>
      <x:c r="F588" s="13" t="str">
        <x:v>PETE_EXPLICIT</x:v>
      </x:c>
      <x:c r="G588" s="17" t="str">
        <x:v>UNREVIEWED</x:v>
      </x:c>
      <x:c r="H588" s="17" t="str"/>
      <x:c r="I588" s="17" t="str"/>
      <x:c r="J588" s="17" t="str"/>
      <x:c r="K588" s="17" t="str"/>
      <x:c r="L588" s="17" t="str"/>
      <x:c r="M588" s="17" t="str">
        <x:v>PENDING WHOLE-VIDEO REVIEW</x:v>
      </x:c>
      <x:c r="N588" s="15" t="n">
        <x:v>592</x:v>
      </x:c>
      <x:c r="O588" s="15" t="n">
        <x:v>3612</x:v>
      </x:c>
      <x:c r="P588" s="15" t="n">
        <x:v>1023</x:v>
      </x:c>
      <x:c r="Q588" s="13" t="str">
        <x:v>NO_LARGE_TAIL_GAP</x:v>
      </x:c>
      <x:c r="R588" s="13" t="str"/>
      <x:c r="S588" s="16" t="n">
        <x:v>0</x:v>
      </x:c>
      <x:c r="T588" s="13" t="str">
        <x:v>6b27f83ebec1d9c5d1158b45edca716245ad37df91c25e29ff888450f195d09d</x:v>
      </x:c>
    </x:row>
    <x:row r="589" ht="15" hidden="0" customHeight="1">
      <x:c r="A589" s="13" t="str">
        <x:v>qLqe8DaG7Xc</x:v>
      </x:c>
      <x:c r="B589" s="13" t="str">
        <x:v>BEST STOCK PICKS TODAY | ATVI BUY POINT 12-14-20</x:v>
      </x:c>
      <x:c r="C589" s="14" t="d">
        <x:v>2020-12-14T00:00:00.000Z</x:v>
      </x:c>
      <x:c r="D589" s="18" t="e">
        <x:f>HYPERLINK("https://www.youtube.com/watch?v=qLqe8DaG7Xc","Watch video")</x:f>
        <x:v>HYPERLINK is not implemented. linkLocation=https://www.youtube.com/watch?v=qLqe8DaG7Xc, friendlyName=Watch video</x:v>
      </x:c>
      <x:c r="E589" s="18" t="e">
        <x:f>HYPERLINK("transcripts/qLqe8DaG7Xc.html","Complete transcript")</x:f>
        <x:v>HYPERLINK is not implemented. linkLocation=transcripts/qLqe8DaG7Xc.html, friendlyName=Complete transcript</x:v>
      </x:c>
      <x:c r="F589" s="13" t="str">
        <x:v>PETE_EXPLICIT</x:v>
      </x:c>
      <x:c r="G589" s="17" t="str">
        <x:v>UNREVIEWED</x:v>
      </x:c>
      <x:c r="H589" s="17" t="str"/>
      <x:c r="I589" s="17" t="str"/>
      <x:c r="J589" s="17" t="str"/>
      <x:c r="K589" s="17" t="str"/>
      <x:c r="L589" s="17" t="str"/>
      <x:c r="M589" s="17" t="str">
        <x:v>PENDING WHOLE-VIDEO REVIEW</x:v>
      </x:c>
      <x:c r="N589" s="15" t="n">
        <x:v>395</x:v>
      </x:c>
      <x:c r="O589" s="15" t="n">
        <x:v>2489</x:v>
      </x:c>
      <x:c r="P589" s="15" t="n">
        <x:v>680</x:v>
      </x:c>
      <x:c r="Q589" s="13" t="str">
        <x:v>NO_LARGE_TAIL_GAP</x:v>
      </x:c>
      <x:c r="R589" s="13" t="str"/>
      <x:c r="S589" s="16" t="n">
        <x:v>0</x:v>
      </x:c>
      <x:c r="T589" s="13" t="str">
        <x:v>d259cd5821360183b083eb15f56e52310fc3cea3a27583b372ae6139fc708ee4</x:v>
      </x:c>
    </x:row>
    <x:row r="590" ht="15" hidden="0" customHeight="1">
      <x:c r="A590" s="13" t="str">
        <x:v>qNwAqrEjp3I</x:v>
      </x:c>
      <x:c r="B590" s="13" t="str">
        <x:v>How to Identify the Correct Support or Resistance</x:v>
      </x:c>
      <x:c r="C590" s="14" t="d">
        <x:v>2015-06-06T00:00:00.000Z</x:v>
      </x:c>
      <x:c r="D590" s="18" t="e">
        <x:f>HYPERLINK("https://www.youtube.com/watch?v=qNwAqrEjp3I","Watch video")</x:f>
        <x:v>HYPERLINK is not implemented. linkLocation=https://www.youtube.com/watch?v=qNwAqrEjp3I, friendlyName=Watch video</x:v>
      </x:c>
      <x:c r="E590" s="18" t="e">
        <x:f>HYPERLINK("transcripts/qNwAqrEjp3I.html","Complete transcript")</x:f>
        <x:v>HYPERLINK is not implemented. linkLocation=transcripts/qNwAqrEjp3I.html, friendlyName=Complete transcript</x:v>
      </x:c>
      <x:c r="F590" s="13" t="str">
        <x:v>UNKNOWN_REQUIRES_REVIEW</x:v>
      </x:c>
      <x:c r="G590" s="17" t="str">
        <x:v>UNREVIEWED</x:v>
      </x:c>
      <x:c r="H590" s="17" t="str"/>
      <x:c r="I590" s="17" t="str"/>
      <x:c r="J590" s="17" t="str"/>
      <x:c r="K590" s="17" t="str"/>
      <x:c r="L590" s="17" t="str"/>
      <x:c r="M590" s="17" t="str">
        <x:v>PENDING WHOLE-VIDEO REVIEW</x:v>
      </x:c>
      <x:c r="N590" s="15" t="n">
        <x:v>43</x:v>
      </x:c>
      <x:c r="O590" s="15" t="n">
        <x:v>301</x:v>
      </x:c>
      <x:c r="P590" s="15" t="n">
        <x:v>96</x:v>
      </x:c>
      <x:c r="Q590" s="13" t="str">
        <x:v>NO_LARGE_TAIL_GAP</x:v>
      </x:c>
      <x:c r="R590" s="13" t="str"/>
      <x:c r="S590" s="16" t="n">
        <x:v>0</x:v>
      </x:c>
      <x:c r="T590" s="13" t="str">
        <x:v>7e01d34b5d926ef0261d0a0b14a9ce8ad79061a1021ad1eb8068b023d9af28cd</x:v>
      </x:c>
    </x:row>
    <x:row r="591" ht="15" hidden="0" customHeight="1">
      <x:c r="A591" s="13" t="str">
        <x:v>qUnENQo-m50</x:v>
      </x:c>
      <x:c r="B591" s="13" t="str">
        <x:v>BA Stock Boeing 6-11-20 | Best Stock Picks Today</x:v>
      </x:c>
      <x:c r="C591" s="14" t="d">
        <x:v>2020-06-11T00:00:00.000Z</x:v>
      </x:c>
      <x:c r="D591" s="18" t="e">
        <x:f>HYPERLINK("https://www.youtube.com/watch?v=qUnENQo-m50","Watch video")</x:f>
        <x:v>HYPERLINK is not implemented. linkLocation=https://www.youtube.com/watch?v=qUnENQo-m50, friendlyName=Watch video</x:v>
      </x:c>
      <x:c r="E591" s="18" t="e">
        <x:f>HYPERLINK("transcripts/qUnENQo-m50.html","Complete transcript")</x:f>
        <x:v>HYPERLINK is not implemented. linkLocation=transcripts/qUnENQo-m50.html, friendlyName=Complete transcript</x:v>
      </x:c>
      <x:c r="F591" s="13" t="str">
        <x:v>UNKNOWN_REQUIRES_REVIEW</x:v>
      </x:c>
      <x:c r="G591" s="17" t="str">
        <x:v>UNREVIEWED</x:v>
      </x:c>
      <x:c r="H591" s="17" t="str"/>
      <x:c r="I591" s="17" t="str"/>
      <x:c r="J591" s="17" t="str"/>
      <x:c r="K591" s="17" t="str"/>
      <x:c r="L591" s="17" t="str"/>
      <x:c r="M591" s="17" t="str">
        <x:v>PENDING WHOLE-VIDEO REVIEW</x:v>
      </x:c>
      <x:c r="N591" s="15" t="n">
        <x:v>312</x:v>
      </x:c>
      <x:c r="O591" s="15" t="n">
        <x:v>2243</x:v>
      </x:c>
      <x:c r="P591" s="15" t="n">
        <x:v>649</x:v>
      </x:c>
      <x:c r="Q591" s="13" t="str">
        <x:v>NO_LARGE_TAIL_GAP</x:v>
      </x:c>
      <x:c r="R591" s="13" t="str"/>
      <x:c r="S591" s="16" t="n">
        <x:v>0</x:v>
      </x:c>
      <x:c r="T591" s="13" t="str">
        <x:v>46f7732e6defb234e91fef6b6fdebea607bb63efcf037be9154c9a3e2b4ab3a6</x:v>
      </x:c>
    </x:row>
    <x:row r="592" ht="15" hidden="0" customHeight="1">
      <x:c r="A592" s="13" t="str">
        <x:v>q_Mfzq_14eg</x:v>
      </x:c>
      <x:c r="B592" s="13" t="str">
        <x:v>Simple Trading Strategy Without Moving Averages | 6-16-20 Stocks for Breakfast</x:v>
      </x:c>
      <x:c r="C592" s="14" t="d">
        <x:v>2020-06-16T00:00:00.000Z</x:v>
      </x:c>
      <x:c r="D592" s="18" t="e">
        <x:f>HYPERLINK("https://www.youtube.com/watch?v=q_Mfzq_14eg","Watch video")</x:f>
        <x:v>HYPERLINK is not implemented. linkLocation=https://www.youtube.com/watch?v=q_Mfzq_14eg, friendlyName=Watch video</x:v>
      </x:c>
      <x:c r="E592" s="18" t="e">
        <x:f>HYPERLINK("transcripts/q_Mfzq_14eg.html","Complete transcript")</x:f>
        <x:v>HYPERLINK is not implemented. linkLocation=transcripts/q_Mfzq_14eg.html, friendlyName=Complete transcript</x:v>
      </x:c>
      <x:c r="F592" s="13" t="str">
        <x:v>UNKNOWN_REQUIRES_REVIEW</x:v>
      </x:c>
      <x:c r="G592" s="17" t="str">
        <x:v>UNREVIEWED</x:v>
      </x:c>
      <x:c r="H592" s="17" t="str"/>
      <x:c r="I592" s="17" t="str"/>
      <x:c r="J592" s="17" t="str"/>
      <x:c r="K592" s="17" t="str"/>
      <x:c r="L592" s="17" t="str"/>
      <x:c r="M592" s="17" t="str">
        <x:v>PENDING WHOLE-VIDEO REVIEW</x:v>
      </x:c>
      <x:c r="N592" s="15" t="n">
        <x:v>513</x:v>
      </x:c>
      <x:c r="O592" s="15" t="n">
        <x:v>3836</x:v>
      </x:c>
      <x:c r="P592" s="15" t="n">
        <x:v>1114</x:v>
      </x:c>
      <x:c r="Q592" s="13" t="str">
        <x:v>NO_LARGE_TAIL_GAP</x:v>
      </x:c>
      <x:c r="R592" s="13" t="str"/>
      <x:c r="S592" s="16" t="n">
        <x:v>0</x:v>
      </x:c>
      <x:c r="T592" s="13" t="str">
        <x:v>f5e7cf1ab4491a1cf652213532fb6e474e00092b0eaf4d286181a29eb9c95352</x:v>
      </x:c>
    </x:row>
    <x:row r="593" ht="15" hidden="0" customHeight="1">
      <x:c r="A593" s="13" t="str">
        <x:v>qnKpVT0Qia0</x:v>
      </x:c>
      <x:c r="B593" s="13" t="str">
        <x:v>Stocks for Breakfast | TradingView Setting Alerts</x:v>
      </x:c>
      <x:c r="C593" s="14" t="d">
        <x:v>2021-01-20T00:00:00.000Z</x:v>
      </x:c>
      <x:c r="D593" s="18" t="e">
        <x:f>HYPERLINK("https://www.youtube.com/watch?v=qnKpVT0Qia0","Watch video")</x:f>
        <x:v>HYPERLINK is not implemented. linkLocation=https://www.youtube.com/watch?v=qnKpVT0Qia0, friendlyName=Watch video</x:v>
      </x:c>
      <x:c r="E593" s="18" t="e">
        <x:f>HYPERLINK("transcripts/qnKpVT0Qia0.html","Complete transcript")</x:f>
        <x:v>HYPERLINK is not implemented. linkLocation=transcripts/qnKpVT0Qia0.html, friendlyName=Complete transcript</x:v>
      </x:c>
      <x:c r="F593" s="13" t="str">
        <x:v>PETE_EXPLICIT</x:v>
      </x:c>
      <x:c r="G593" s="17" t="str">
        <x:v>UNREVIEWED</x:v>
      </x:c>
      <x:c r="H593" s="17" t="str"/>
      <x:c r="I593" s="17" t="str"/>
      <x:c r="J593" s="17" t="str"/>
      <x:c r="K593" s="17" t="str"/>
      <x:c r="L593" s="17" t="str"/>
      <x:c r="M593" s="17" t="str">
        <x:v>PENDING WHOLE-VIDEO REVIEW</x:v>
      </x:c>
      <x:c r="N593" s="15" t="n">
        <x:v>290</x:v>
      </x:c>
      <x:c r="O593" s="15" t="n">
        <x:v>1827</x:v>
      </x:c>
      <x:c r="P593" s="15" t="n">
        <x:v>513</x:v>
      </x:c>
      <x:c r="Q593" s="13" t="str">
        <x:v>NO_LARGE_TAIL_GAP</x:v>
      </x:c>
      <x:c r="R593" s="13" t="str"/>
      <x:c r="S593" s="16" t="n">
        <x:v>0</x:v>
      </x:c>
      <x:c r="T593" s="13" t="str">
        <x:v>fb17219daf49de109ccd1f02df8c25b81ee7b41033a81a0d02784ea2d2eea1a5</x:v>
      </x:c>
    </x:row>
    <x:row r="594" ht="15" hidden="0" customHeight="1">
      <x:c r="A594" s="13" t="str">
        <x:v>qoWx8hw_Zfw</x:v>
      </x:c>
      <x:c r="B594" s="13" t="str">
        <x:v>Best Stock Picks Today 8-27-20 |  ABT Abbott Labs FDA News</x:v>
      </x:c>
      <x:c r="C594" s="14" t="d">
        <x:v>2020-08-27T00:00:00.000Z</x:v>
      </x:c>
      <x:c r="D594" s="18" t="e">
        <x:f>HYPERLINK("https://www.youtube.com/watch?v=qoWx8hw_Zfw","Watch video")</x:f>
        <x:v>HYPERLINK is not implemented. linkLocation=https://www.youtube.com/watch?v=qoWx8hw_Zfw, friendlyName=Watch video</x:v>
      </x:c>
      <x:c r="E594" s="18" t="e">
        <x:f>HYPERLINK("transcripts/qoWx8hw_Zfw.html","Complete transcript")</x:f>
        <x:v>HYPERLINK is not implemented. linkLocation=transcripts/qoWx8hw_Zfw.html, friendlyName=Complete transcript</x:v>
      </x:c>
      <x:c r="F594" s="13" t="str">
        <x:v>PETE_EXPLICIT</x:v>
      </x:c>
      <x:c r="G594" s="17" t="str">
        <x:v>UNREVIEWED</x:v>
      </x:c>
      <x:c r="H594" s="17" t="str"/>
      <x:c r="I594" s="17" t="str"/>
      <x:c r="J594" s="17" t="str"/>
      <x:c r="K594" s="17" t="str"/>
      <x:c r="L594" s="17" t="str"/>
      <x:c r="M594" s="17" t="str">
        <x:v>PENDING WHOLE-VIDEO REVIEW</x:v>
      </x:c>
      <x:c r="N594" s="15" t="n">
        <x:v>495</x:v>
      </x:c>
      <x:c r="O594" s="15" t="n">
        <x:v>3105</x:v>
      </x:c>
      <x:c r="P594" s="15" t="n">
        <x:v>873</x:v>
      </x:c>
      <x:c r="Q594" s="13" t="str">
        <x:v>NO_LARGE_TAIL_GAP</x:v>
      </x:c>
      <x:c r="R594" s="13" t="str"/>
      <x:c r="S594" s="16" t="n">
        <x:v>0</x:v>
      </x:c>
      <x:c r="T594" s="13" t="str">
        <x:v>d078685d6e1aba917b30d50d4d4b733a4b55c23aca8c47009fee4cac8e027094</x:v>
      </x:c>
    </x:row>
    <x:row r="595" ht="15" hidden="0" customHeight="1">
      <x:c r="A595" s="13" t="str">
        <x:v>qtRsxHMLvKw</x:v>
      </x:c>
      <x:c r="B595" s="13" t="str">
        <x:v>Frustrated Trader? Unlock Hidden Trends with Timeframes</x:v>
      </x:c>
      <x:c r="C595" s="14" t="d">
        <x:v>2015-04-22T00:00:00.000Z</x:v>
      </x:c>
      <x:c r="D595" s="18" t="e">
        <x:f>HYPERLINK("https://www.youtube.com/watch?v=qtRsxHMLvKw","Watch video")</x:f>
        <x:v>HYPERLINK is not implemented. linkLocation=https://www.youtube.com/watch?v=qtRsxHMLvKw, friendlyName=Watch video</x:v>
      </x:c>
      <x:c r="E595" s="18" t="e">
        <x:f>HYPERLINK("transcripts/qtRsxHMLvKw.html","Complete transcript")</x:f>
        <x:v>HYPERLINK is not implemented. linkLocation=transcripts/qtRsxHMLvKw.html, friendlyName=Complete transcript</x:v>
      </x:c>
      <x:c r="F595" s="13" t="str">
        <x:v>UNKNOWN_REQUIRES_REVIEW</x:v>
      </x:c>
      <x:c r="G595" s="17" t="str">
        <x:v>UNREVIEWED</x:v>
      </x:c>
      <x:c r="H595" s="17" t="str"/>
      <x:c r="I595" s="17" t="str"/>
      <x:c r="J595" s="17" t="str"/>
      <x:c r="K595" s="17" t="str"/>
      <x:c r="L595" s="17" t="str"/>
      <x:c r="M595" s="17" t="str">
        <x:v>PENDING WHOLE-VIDEO REVIEW</x:v>
      </x:c>
      <x:c r="N595" s="15" t="n">
        <x:v>123</x:v>
      </x:c>
      <x:c r="O595" s="15" t="n">
        <x:v>881</x:v>
      </x:c>
      <x:c r="P595" s="15" t="n">
        <x:v>275</x:v>
      </x:c>
      <x:c r="Q595" s="13" t="str">
        <x:v>NO_LARGE_TAIL_GAP</x:v>
      </x:c>
      <x:c r="R595" s="13" t="str"/>
      <x:c r="S595" s="16" t="n">
        <x:v>0</x:v>
      </x:c>
      <x:c r="T595" s="13" t="str">
        <x:v>a34fd0f16d5e6a098544bdb2ee20738cb3867ca208ab6e3fa938b3276b2eb7b0</x:v>
      </x:c>
    </x:row>
    <x:row r="596" ht="15" hidden="0" customHeight="1">
      <x:c r="A596" s="13" t="str">
        <x:v>qvG3xo-9w8E</x:v>
      </x:c>
      <x:c r="B596" s="13" t="str">
        <x:v>2 Things Profitable Stocks And Options Traders NEVER Do!</x:v>
      </x:c>
      <x:c r="C596" s="14" t="d">
        <x:v>2024-07-22T00:00:00.000Z</x:v>
      </x:c>
      <x:c r="D596" s="18" t="e">
        <x:f>HYPERLINK("https://www.youtube.com/watch?v=qvG3xo-9w8E","Watch video")</x:f>
        <x:v>HYPERLINK is not implemented. linkLocation=https://www.youtube.com/watch?v=qvG3xo-9w8E, friendlyName=Watch video</x:v>
      </x:c>
      <x:c r="E596" s="18" t="e">
        <x:f>HYPERLINK("transcripts/qvG3xo-9w8E.html","Complete transcript")</x:f>
        <x:v>HYPERLINK is not implemented. linkLocation=transcripts/qvG3xo-9w8E.html, friendlyName=Complete transcript</x:v>
      </x:c>
      <x:c r="F596" s="13" t="str">
        <x:v>PETE_EXPLICIT</x:v>
      </x:c>
      <x:c r="G596" s="17" t="str">
        <x:v>UNREVIEWED</x:v>
      </x:c>
      <x:c r="H596" s="17" t="str"/>
      <x:c r="I596" s="17" t="str"/>
      <x:c r="J596" s="17" t="str"/>
      <x:c r="K596" s="17" t="str"/>
      <x:c r="L596" s="17" t="str"/>
      <x:c r="M596" s="17" t="str">
        <x:v>PENDING WHOLE-VIDEO REVIEW</x:v>
      </x:c>
      <x:c r="N596" s="15" t="n">
        <x:v>366</x:v>
      </x:c>
      <x:c r="O596" s="15" t="n">
        <x:v>2703</x:v>
      </x:c>
      <x:c r="P596" s="15" t="n">
        <x:v>753</x:v>
      </x:c>
      <x:c r="Q596" s="13" t="str">
        <x:v>NO_LARGE_TAIL_GAP</x:v>
      </x:c>
      <x:c r="R596" s="13" t="str"/>
      <x:c r="S596" s="16" t="n">
        <x:v>0</x:v>
      </x:c>
      <x:c r="T596" s="13" t="str">
        <x:v>2c4d9c3092a56e4085d9e0b09baa321f4ecd10991dec2378cb351c15f9db1016</x:v>
      </x:c>
    </x:row>
    <x:row r="597" ht="15" hidden="0" customHeight="1">
      <x:c r="A597" s="13" t="str">
        <x:v>rAOugQe9ON0</x:v>
      </x:c>
      <x:c r="B597" s="13" t="str">
        <x:v>Day Trading Secrets, Entries and Exits | Stocks for Breakfast</x:v>
      </x:c>
      <x:c r="C597" s="14" t="d">
        <x:v>2020-08-18T00:00:00.000Z</x:v>
      </x:c>
      <x:c r="D597" s="18" t="e">
        <x:f>HYPERLINK("https://www.youtube.com/watch?v=rAOugQe9ON0","Watch video")</x:f>
        <x:v>HYPERLINK is not implemented. linkLocation=https://www.youtube.com/watch?v=rAOugQe9ON0, friendlyName=Watch video</x:v>
      </x:c>
      <x:c r="E597" s="18" t="e">
        <x:f>HYPERLINK("transcripts/rAOugQe9ON0.html","Complete transcript")</x:f>
        <x:v>HYPERLINK is not implemented. linkLocation=transcripts/rAOugQe9ON0.html, friendlyName=Complete transcript</x:v>
      </x:c>
      <x:c r="F597" s="13" t="str">
        <x:v>PETE_EXPLICIT</x:v>
      </x:c>
      <x:c r="G597" s="17" t="str">
        <x:v>UNREVIEWED</x:v>
      </x:c>
      <x:c r="H597" s="17" t="str"/>
      <x:c r="I597" s="17" t="str"/>
      <x:c r="J597" s="17" t="str"/>
      <x:c r="K597" s="17" t="str"/>
      <x:c r="L597" s="17" t="str"/>
      <x:c r="M597" s="17" t="str">
        <x:v>PENDING WHOLE-VIDEO REVIEW</x:v>
      </x:c>
      <x:c r="N597" s="15" t="n">
        <x:v>487</x:v>
      </x:c>
      <x:c r="O597" s="15" t="n">
        <x:v>3068</x:v>
      </x:c>
      <x:c r="P597" s="15" t="n">
        <x:v>853</x:v>
      </x:c>
      <x:c r="Q597" s="13" t="str">
        <x:v>NO_LARGE_TAIL_GAP</x:v>
      </x:c>
      <x:c r="R597" s="13" t="str"/>
      <x:c r="S597" s="16" t="n">
        <x:v>0</x:v>
      </x:c>
      <x:c r="T597" s="13" t="str">
        <x:v>18cc7dbbd68369af5bfbf6ba0f669c5e362847cb118799bc8c67e04c7bae6a3c</x:v>
      </x:c>
    </x:row>
    <x:row r="598" ht="15" hidden="0" customHeight="1">
      <x:c r="A598" s="13" t="str">
        <x:v>rN4zu9GckKc</x:v>
      </x:c>
      <x:c r="B598" s="13" t="str">
        <x:v>NFLX Netflix Swing Trade | Best Stock Picks Today 12-15-20</x:v>
      </x:c>
      <x:c r="C598" s="14" t="d">
        <x:v>2020-12-15T00:00:00.000Z</x:v>
      </x:c>
      <x:c r="D598" s="18" t="e">
        <x:f>HYPERLINK("https://www.youtube.com/watch?v=rN4zu9GckKc","Watch video")</x:f>
        <x:v>HYPERLINK is not implemented. linkLocation=https://www.youtube.com/watch?v=rN4zu9GckKc, friendlyName=Watch video</x:v>
      </x:c>
      <x:c r="E598" s="18" t="e">
        <x:f>HYPERLINK("transcripts/rN4zu9GckKc.html","Complete transcript")</x:f>
        <x:v>HYPERLINK is not implemented. linkLocation=transcripts/rN4zu9GckKc.html, friendlyName=Complete transcript</x:v>
      </x:c>
      <x:c r="F598" s="13" t="str">
        <x:v>PETE_EXPLICIT</x:v>
      </x:c>
      <x:c r="G598" s="17" t="str">
        <x:v>UNREVIEWED</x:v>
      </x:c>
      <x:c r="H598" s="17" t="str"/>
      <x:c r="I598" s="17" t="str"/>
      <x:c r="J598" s="17" t="str"/>
      <x:c r="K598" s="17" t="str"/>
      <x:c r="L598" s="17" t="str"/>
      <x:c r="M598" s="17" t="str">
        <x:v>PENDING WHOLE-VIDEO REVIEW</x:v>
      </x:c>
      <x:c r="N598" s="15" t="n">
        <x:v>433</x:v>
      </x:c>
      <x:c r="O598" s="15" t="n">
        <x:v>2735</x:v>
      </x:c>
      <x:c r="P598" s="15" t="n">
        <x:v>786</x:v>
      </x:c>
      <x:c r="Q598" s="13" t="str">
        <x:v>NO_LARGE_TAIL_GAP</x:v>
      </x:c>
      <x:c r="R598" s="13" t="str"/>
      <x:c r="S598" s="16" t="n">
        <x:v>0</x:v>
      </x:c>
      <x:c r="T598" s="13" t="str">
        <x:v>0b53cae7e9eba1ccb70db935a9fa6f823af7b6064bb8103f0b1098e9330e1ed8</x:v>
      </x:c>
    </x:row>
    <x:row r="599" ht="15" hidden="0" customHeight="1">
      <x:c r="A599" s="13" t="str">
        <x:v>rNSRWFzQNNc</x:v>
      </x:c>
      <x:c r="B599" s="13" t="str">
        <x:v>Options Trading Pro | The Difference of Intrinsic Value vs Extrinsic Value</x:v>
      </x:c>
      <x:c r="C599" s="14" t="d">
        <x:v>2024-07-09T00:00:00.000Z</x:v>
      </x:c>
      <x:c r="D599" s="18" t="e">
        <x:f>HYPERLINK("https://www.youtube.com/watch?v=rNSRWFzQNNc","Watch video")</x:f>
        <x:v>HYPERLINK is not implemented. linkLocation=https://www.youtube.com/watch?v=rNSRWFzQNNc, friendlyName=Watch video</x:v>
      </x:c>
      <x:c r="E599" s="18" t="e">
        <x:f>HYPERLINK("transcripts/rNSRWFzQNNc.html","Complete transcript")</x:f>
        <x:v>HYPERLINK is not implemented. linkLocation=transcripts/rNSRWFzQNNc.html, friendlyName=Complete transcript</x:v>
      </x:c>
      <x:c r="F599" s="13" t="str">
        <x:v>UNKNOWN_REQUIRES_REVIEW</x:v>
      </x:c>
      <x:c r="G599" s="17" t="str">
        <x:v>UNREVIEWED</x:v>
      </x:c>
      <x:c r="H599" s="17" t="str"/>
      <x:c r="I599" s="17" t="str"/>
      <x:c r="J599" s="17" t="str"/>
      <x:c r="K599" s="17" t="str"/>
      <x:c r="L599" s="17" t="str"/>
      <x:c r="M599" s="17" t="str">
        <x:v>PENDING WHOLE-VIDEO REVIEW</x:v>
      </x:c>
      <x:c r="N599" s="15" t="n">
        <x:v>49</x:v>
      </x:c>
      <x:c r="O599" s="15" t="n">
        <x:v>353</x:v>
      </x:c>
      <x:c r="P599" s="15" t="n">
        <x:v>116</x:v>
      </x:c>
      <x:c r="Q599" s="13" t="str">
        <x:v>NO_LARGE_TAIL_GAP</x:v>
      </x:c>
      <x:c r="R599" s="13" t="str"/>
      <x:c r="S599" s="16" t="n">
        <x:v>2</x:v>
      </x:c>
      <x:c r="T599" s="13" t="str">
        <x:v>4338a5bc8a959f7c12537f46df991cd55712532f113c171fcd6a8490aaa603dc</x:v>
      </x:c>
    </x:row>
    <x:row r="600" ht="15" hidden="0" customHeight="1">
      <x:c r="A600" s="13" t="str">
        <x:v>rOK3btBVrlI</x:v>
      </x:c>
      <x:c r="B600" s="13" t="str">
        <x:v>Day Trading AAPL | Stocks for Breakfast 3 4 20</x:v>
      </x:c>
      <x:c r="C600" s="14" t="d">
        <x:v>2020-03-04T00:00:00.000Z</x:v>
      </x:c>
      <x:c r="D600" s="18" t="e">
        <x:f>HYPERLINK("https://www.youtube.com/watch?v=rOK3btBVrlI","Watch video")</x:f>
        <x:v>HYPERLINK is not implemented. linkLocation=https://www.youtube.com/watch?v=rOK3btBVrlI, friendlyName=Watch video</x:v>
      </x:c>
      <x:c r="E600" s="18" t="e">
        <x:f>HYPERLINK("transcripts/rOK3btBVrlI.html","Complete transcript")</x:f>
        <x:v>HYPERLINK is not implemented. linkLocation=transcripts/rOK3btBVrlI.html, friendlyName=Complete transcript</x:v>
      </x:c>
      <x:c r="F600" s="13" t="str">
        <x:v>UNKNOWN_REQUIRES_REVIEW</x:v>
      </x:c>
      <x:c r="G600" s="17" t="str">
        <x:v>UNREVIEWED</x:v>
      </x:c>
      <x:c r="H600" s="17" t="str"/>
      <x:c r="I600" s="17" t="str"/>
      <x:c r="J600" s="17" t="str"/>
      <x:c r="K600" s="17" t="str"/>
      <x:c r="L600" s="17" t="str"/>
      <x:c r="M600" s="17" t="str">
        <x:v>PENDING WHOLE-VIDEO REVIEW</x:v>
      </x:c>
      <x:c r="N600" s="15" t="n">
        <x:v>659</x:v>
      </x:c>
      <x:c r="O600" s="15" t="n">
        <x:v>4787</x:v>
      </x:c>
      <x:c r="P600" s="15" t="n">
        <x:v>1385</x:v>
      </x:c>
      <x:c r="Q600" s="13" t="str">
        <x:v>NO_LARGE_TAIL_GAP</x:v>
      </x:c>
      <x:c r="R600" s="13" t="str"/>
      <x:c r="S600" s="16" t="n">
        <x:v>0</x:v>
      </x:c>
      <x:c r="T600" s="13" t="str">
        <x:v>d7a0416ff48772f8f373e6e831945cd6ff3d06fa40fb58dae80a7849fece3402</x:v>
      </x:c>
    </x:row>
    <x:row r="601" ht="15" hidden="0" customHeight="1">
      <x:c r="A601" s="13" t="str">
        <x:v>rOS6rjcIQIo</x:v>
      </x:c>
      <x:c r="B601" s="13" t="str">
        <x:v>Simple Trading System for Beginners</x:v>
      </x:c>
      <x:c r="C601" s="14" t="d">
        <x:v>2020-06-17T00:00:00.000Z</x:v>
      </x:c>
      <x:c r="D601" s="18" t="e">
        <x:f>HYPERLINK("https://www.youtube.com/watch?v=rOS6rjcIQIo","Watch video")</x:f>
        <x:v>HYPERLINK is not implemented. linkLocation=https://www.youtube.com/watch?v=rOS6rjcIQIo, friendlyName=Watch video</x:v>
      </x:c>
      <x:c r="E601" s="18" t="e">
        <x:f>HYPERLINK("transcripts/rOS6rjcIQIo.html","Complete transcript")</x:f>
        <x:v>HYPERLINK is not implemented. linkLocation=transcripts/rOS6rjcIQIo.html, friendlyName=Complete transcript</x:v>
      </x:c>
      <x:c r="F601" s="13" t="str">
        <x:v>UNKNOWN_REQUIRES_REVIEW</x:v>
      </x:c>
      <x:c r="G601" s="17" t="str">
        <x:v>UNREVIEWED</x:v>
      </x:c>
      <x:c r="H601" s="17" t="str"/>
      <x:c r="I601" s="17" t="str"/>
      <x:c r="J601" s="17" t="str"/>
      <x:c r="K601" s="17" t="str"/>
      <x:c r="L601" s="17" t="str"/>
      <x:c r="M601" s="17" t="str">
        <x:v>PENDING WHOLE-VIDEO REVIEW</x:v>
      </x:c>
      <x:c r="N601" s="15" t="n">
        <x:v>498</x:v>
      </x:c>
      <x:c r="O601" s="15" t="n">
        <x:v>3668</x:v>
      </x:c>
      <x:c r="P601" s="15" t="n">
        <x:v>1090</x:v>
      </x:c>
      <x:c r="Q601" s="13" t="str">
        <x:v>NO_LARGE_TAIL_GAP</x:v>
      </x:c>
      <x:c r="R601" s="13" t="str"/>
      <x:c r="S601" s="16" t="n">
        <x:v>0</x:v>
      </x:c>
      <x:c r="T601" s="13" t="str">
        <x:v>78f6371ee2dbf7768cce90d1a7feaed3e22a36cc91093b61ae93970d5108f202</x:v>
      </x:c>
    </x:row>
    <x:row r="602" ht="15" hidden="0" customHeight="1">
      <x:c r="A602" s="13" t="str">
        <x:v>rOysUPgXCp8</x:v>
      </x:c>
      <x:c r="B602" s="13" t="str">
        <x:v>Best Stock Picks Today | SFIX Breakout 9-10-20</x:v>
      </x:c>
      <x:c r="C602" s="14" t="d">
        <x:v>2020-09-10T00:00:00.000Z</x:v>
      </x:c>
      <x:c r="D602" s="18" t="e">
        <x:f>HYPERLINK("https://www.youtube.com/watch?v=rOysUPgXCp8","Watch video")</x:f>
        <x:v>HYPERLINK is not implemented. linkLocation=https://www.youtube.com/watch?v=rOysUPgXCp8, friendlyName=Watch video</x:v>
      </x:c>
      <x:c r="E602" s="18" t="e">
        <x:f>HYPERLINK("transcripts/rOysUPgXCp8.html","Complete transcript")</x:f>
        <x:v>HYPERLINK is not implemented. linkLocation=transcripts/rOysUPgXCp8.html, friendlyName=Complete transcript</x:v>
      </x:c>
      <x:c r="F602" s="13" t="str">
        <x:v>PETE_EXPLICIT</x:v>
      </x:c>
      <x:c r="G602" s="17" t="str">
        <x:v>UNREVIEWED</x:v>
      </x:c>
      <x:c r="H602" s="17" t="str"/>
      <x:c r="I602" s="17" t="str"/>
      <x:c r="J602" s="17" t="str"/>
      <x:c r="K602" s="17" t="str"/>
      <x:c r="L602" s="17" t="str"/>
      <x:c r="M602" s="17" t="str">
        <x:v>PENDING WHOLE-VIDEO REVIEW</x:v>
      </x:c>
      <x:c r="N602" s="15" t="n">
        <x:v>310</x:v>
      </x:c>
      <x:c r="O602" s="15" t="n">
        <x:v>1944</x:v>
      </x:c>
      <x:c r="P602" s="15" t="n">
        <x:v>574</x:v>
      </x:c>
      <x:c r="Q602" s="13" t="str">
        <x:v>NO_LARGE_TAIL_GAP</x:v>
      </x:c>
      <x:c r="R602" s="13" t="str"/>
      <x:c r="S602" s="16" t="n">
        <x:v>0</x:v>
      </x:c>
      <x:c r="T602" s="13" t="str">
        <x:v>f97fdde10136cb772dda7904c8151f14398387297c0b5f0b4085bf12bd637288</x:v>
      </x:c>
    </x:row>
    <x:row r="603" ht="15" hidden="0" customHeight="1">
      <x:c r="A603" s="13" t="str">
        <x:v>rRMCQOXsVZw</x:v>
      </x:c>
      <x:c r="B603" s="13" t="str">
        <x:v>AAPL Earnings AMZN Earnings 4-30-20 | Best Stock Picks Today</x:v>
      </x:c>
      <x:c r="C603" s="14" t="d">
        <x:v>2020-04-30T00:00:00.000Z</x:v>
      </x:c>
      <x:c r="D603" s="18" t="e">
        <x:f>HYPERLINK("https://www.youtube.com/watch?v=rRMCQOXsVZw","Watch video")</x:f>
        <x:v>HYPERLINK is not implemented. linkLocation=https://www.youtube.com/watch?v=rRMCQOXsVZw, friendlyName=Watch video</x:v>
      </x:c>
      <x:c r="E603" s="18" t="e">
        <x:f>HYPERLINK("transcripts/rRMCQOXsVZw.html","Complete transcript")</x:f>
        <x:v>HYPERLINK is not implemented. linkLocation=transcripts/rRMCQOXsVZw.html, friendlyName=Complete transcript</x:v>
      </x:c>
      <x:c r="F603" s="13" t="str">
        <x:v>UNKNOWN_REQUIRES_REVIEW</x:v>
      </x:c>
      <x:c r="G603" s="17" t="str">
        <x:v>UNREVIEWED</x:v>
      </x:c>
      <x:c r="H603" s="17" t="str"/>
      <x:c r="I603" s="17" t="str"/>
      <x:c r="J603" s="17" t="str"/>
      <x:c r="K603" s="17" t="str"/>
      <x:c r="L603" s="17" t="str"/>
      <x:c r="M603" s="17" t="str">
        <x:v>PENDING WHOLE-VIDEO REVIEW</x:v>
      </x:c>
      <x:c r="N603" s="15" t="n">
        <x:v>513</x:v>
      </x:c>
      <x:c r="O603" s="15" t="n">
        <x:v>3782</x:v>
      </x:c>
      <x:c r="P603" s="15" t="n">
        <x:v>1142</x:v>
      </x:c>
      <x:c r="Q603" s="13" t="str">
        <x:v>NO_LARGE_TAIL_GAP</x:v>
      </x:c>
      <x:c r="R603" s="13" t="str"/>
      <x:c r="S603" s="16" t="n">
        <x:v>0</x:v>
      </x:c>
      <x:c r="T603" s="13" t="str">
        <x:v>58ced891e475e34026cdab1f620d3e971a348429858da0a72174d5cb874fcb73</x:v>
      </x:c>
    </x:row>
    <x:row r="604" ht="15" hidden="0" customHeight="1">
      <x:c r="A604" s="13" t="str">
        <x:v>rRo2OVyWXDE</x:v>
      </x:c>
      <x:c r="B604" s="13" t="str">
        <x:v>How to trade a strong stock on a pull back</x:v>
      </x:c>
      <x:c r="C604" s="14" t="d">
        <x:v>2015-05-28T00:00:00.000Z</x:v>
      </x:c>
      <x:c r="D604" s="18" t="e">
        <x:f>HYPERLINK("https://www.youtube.com/watch?v=rRo2OVyWXDE","Watch video")</x:f>
        <x:v>HYPERLINK is not implemented. linkLocation=https://www.youtube.com/watch?v=rRo2OVyWXDE, friendlyName=Watch video</x:v>
      </x:c>
      <x:c r="E604" s="18" t="e">
        <x:f>HYPERLINK("transcripts/rRo2OVyWXDE.html","Complete transcript")</x:f>
        <x:v>HYPERLINK is not implemented. linkLocation=transcripts/rRo2OVyWXDE.html, friendlyName=Complete transcript</x:v>
      </x:c>
      <x:c r="F604" s="13" t="str">
        <x:v>UNKNOWN_REQUIRES_REVIEW</x:v>
      </x:c>
      <x:c r="G604" s="17" t="str">
        <x:v>UNREVIEWED</x:v>
      </x:c>
      <x:c r="H604" s="17" t="str"/>
      <x:c r="I604" s="17" t="str"/>
      <x:c r="J604" s="17" t="str"/>
      <x:c r="K604" s="17" t="str"/>
      <x:c r="L604" s="17" t="str"/>
      <x:c r="M604" s="17" t="str">
        <x:v>PENDING WHOLE-VIDEO REVIEW</x:v>
      </x:c>
      <x:c r="N604" s="15" t="n">
        <x:v>25</x:v>
      </x:c>
      <x:c r="O604" s="15" t="n">
        <x:v>192</x:v>
      </x:c>
      <x:c r="P604" s="15" t="n">
        <x:v>51</x:v>
      </x:c>
      <x:c r="Q604" s="13" t="str">
        <x:v>NO_LARGE_TAIL_GAP</x:v>
      </x:c>
      <x:c r="R604" s="13" t="str"/>
      <x:c r="S604" s="16" t="n">
        <x:v>0</x:v>
      </x:c>
      <x:c r="T604" s="13" t="str">
        <x:v>5d6e1f396650e929aab53e51c108ee2b2d5e638d5fc597aae3d8246be8895604</x:v>
      </x:c>
    </x:row>
    <x:row r="605" ht="15" hidden="0" customHeight="1">
      <x:c r="A605" s="13" t="str">
        <x:v>rcS-7s7A4sQ</x:v>
      </x:c>
      <x:c r="B605" s="13" t="str">
        <x:v>Options Trading Insight | Adjusting Your Trades When the Market Rolls</x:v>
      </x:c>
      <x:c r="C605" s="14" t="d">
        <x:v>2024-07-09T00:00:00.000Z</x:v>
      </x:c>
      <x:c r="D605" s="18" t="e">
        <x:f>HYPERLINK("https://www.youtube.com/watch?v=rcS-7s7A4sQ","Watch video")</x:f>
        <x:v>HYPERLINK is not implemented. linkLocation=https://www.youtube.com/watch?v=rcS-7s7A4sQ, friendlyName=Watch video</x:v>
      </x:c>
      <x:c r="E605" s="18" t="e">
        <x:f>HYPERLINK("transcripts/rcS-7s7A4sQ.html","Complete transcript")</x:f>
        <x:v>HYPERLINK is not implemented. linkLocation=transcripts/rcS-7s7A4sQ.html, friendlyName=Complete transcript</x:v>
      </x:c>
      <x:c r="F605" s="13" t="str">
        <x:v>UNKNOWN_REQUIRES_REVIEW</x:v>
      </x:c>
      <x:c r="G605" s="17" t="str">
        <x:v>UNREVIEWED</x:v>
      </x:c>
      <x:c r="H605" s="17" t="str"/>
      <x:c r="I605" s="17" t="str"/>
      <x:c r="J605" s="17" t="str"/>
      <x:c r="K605" s="17" t="str"/>
      <x:c r="L605" s="17" t="str"/>
      <x:c r="M605" s="17" t="str">
        <x:v>PENDING WHOLE-VIDEO REVIEW</x:v>
      </x:c>
      <x:c r="N605" s="15" t="n">
        <x:v>76</x:v>
      </x:c>
      <x:c r="O605" s="15" t="n">
        <x:v>563</x:v>
      </x:c>
      <x:c r="P605" s="15" t="n">
        <x:v>165</x:v>
      </x:c>
      <x:c r="Q605" s="13" t="str">
        <x:v>NO_LARGE_TAIL_GAP</x:v>
      </x:c>
      <x:c r="R605" s="13" t="str"/>
      <x:c r="S605" s="16" t="n">
        <x:v>4</x:v>
      </x:c>
      <x:c r="T605" s="13" t="str">
        <x:v>4c1d5d574b42efbfc441c400614c91c8a9eecc0e2f1de10fd6d70a6619ec9965</x:v>
      </x:c>
    </x:row>
    <x:row r="606" ht="15" hidden="0" customHeight="1">
      <x:c r="A606" s="13" t="str">
        <x:v>rfHpANYg56A</x:v>
      </x:c>
      <x:c r="B606" s="13" t="str">
        <x:v>When to Add to Winning Trades | Stocks for Breakfast</x:v>
      </x:c>
      <x:c r="C606" s="14" t="d">
        <x:v>2020-11-24T00:00:00.000Z</x:v>
      </x:c>
      <x:c r="D606" s="18" t="e">
        <x:f>HYPERLINK("https://www.youtube.com/watch?v=rfHpANYg56A","Watch video")</x:f>
        <x:v>HYPERLINK is not implemented. linkLocation=https://www.youtube.com/watch?v=rfHpANYg56A, friendlyName=Watch video</x:v>
      </x:c>
      <x:c r="E606" s="18" t="e">
        <x:f>HYPERLINK("transcripts/rfHpANYg56A.html","Complete transcript")</x:f>
        <x:v>HYPERLINK is not implemented. linkLocation=transcripts/rfHpANYg56A.html, friendlyName=Complete transcript</x:v>
      </x:c>
      <x:c r="F606" s="13" t="str">
        <x:v>PETE_EXPLICIT</x:v>
      </x:c>
      <x:c r="G606" s="17" t="str">
        <x:v>UNREVIEWED</x:v>
      </x:c>
      <x:c r="H606" s="17" t="str"/>
      <x:c r="I606" s="17" t="str"/>
      <x:c r="J606" s="17" t="str"/>
      <x:c r="K606" s="17" t="str"/>
      <x:c r="L606" s="17" t="str"/>
      <x:c r="M606" s="17" t="str">
        <x:v>PENDING WHOLE-VIDEO REVIEW</x:v>
      </x:c>
      <x:c r="N606" s="15" t="n">
        <x:v>531</x:v>
      </x:c>
      <x:c r="O606" s="15" t="n">
        <x:v>3346</x:v>
      </x:c>
      <x:c r="P606" s="15" t="n">
        <x:v>946</x:v>
      </x:c>
      <x:c r="Q606" s="13" t="str">
        <x:v>NO_LARGE_TAIL_GAP</x:v>
      </x:c>
      <x:c r="R606" s="13" t="str"/>
      <x:c r="S606" s="16" t="n">
        <x:v>0</x:v>
      </x:c>
      <x:c r="T606" s="13" t="str">
        <x:v>9d0a3e2d7cd5102dfab26b6043eed3622c1352186e0306ec82e171a0eab0a1c0</x:v>
      </x:c>
    </x:row>
    <x:row r="607" ht="15" hidden="0" customHeight="1">
      <x:c r="A607" s="13" t="str">
        <x:v>rleBLdn1s0w</x:v>
      </x:c>
      <x:c r="B607" s="13" t="str">
        <x:v>WKHS USPS | Best Stock Picks Today 10-12-20</x:v>
      </x:c>
      <x:c r="C607" s="14" t="d">
        <x:v>2020-10-12T00:00:00.000Z</x:v>
      </x:c>
      <x:c r="D607" s="18" t="e">
        <x:f>HYPERLINK("https://www.youtube.com/watch?v=rleBLdn1s0w","Watch video")</x:f>
        <x:v>HYPERLINK is not implemented. linkLocation=https://www.youtube.com/watch?v=rleBLdn1s0w, friendlyName=Watch video</x:v>
      </x:c>
      <x:c r="E607" s="18" t="e">
        <x:f>HYPERLINK("transcripts/rleBLdn1s0w.html","Complete transcript")</x:f>
        <x:v>HYPERLINK is not implemented. linkLocation=transcripts/rleBLdn1s0w.html, friendlyName=Complete transcript</x:v>
      </x:c>
      <x:c r="F607" s="13" t="str">
        <x:v>PETE_EXPLICIT</x:v>
      </x:c>
      <x:c r="G607" s="17" t="str">
        <x:v>UNREVIEWED</x:v>
      </x:c>
      <x:c r="H607" s="17" t="str"/>
      <x:c r="I607" s="17" t="str"/>
      <x:c r="J607" s="17" t="str"/>
      <x:c r="K607" s="17" t="str"/>
      <x:c r="L607" s="17" t="str"/>
      <x:c r="M607" s="17" t="str">
        <x:v>PENDING WHOLE-VIDEO REVIEW</x:v>
      </x:c>
      <x:c r="N607" s="15" t="n">
        <x:v>381</x:v>
      </x:c>
      <x:c r="O607" s="15" t="n">
        <x:v>2332</x:v>
      </x:c>
      <x:c r="P607" s="15" t="n">
        <x:v>684</x:v>
      </x:c>
      <x:c r="Q607" s="13" t="str">
        <x:v>NO_LARGE_TAIL_GAP</x:v>
      </x:c>
      <x:c r="R607" s="13" t="str"/>
      <x:c r="S607" s="16" t="n">
        <x:v>0</x:v>
      </x:c>
      <x:c r="T607" s="13" t="str">
        <x:v>3189762c5dca6cd5f9d147e03fbc7ccc1f92b9e257c06ee7d48e96598711f1be</x:v>
      </x:c>
    </x:row>
    <x:row r="608" ht="15" hidden="0" customHeight="1">
      <x:c r="A608" s="13" t="str">
        <x:v>rmhuPLje7iI</x:v>
      </x:c>
      <x:c r="B608" s="13" t="str">
        <x:v>Why Your Options Expire Worthless &amp; How to Fix It</x:v>
      </x:c>
      <x:c r="C608" s="14" t="d">
        <x:v>2025-10-13T00:00:00.000Z</x:v>
      </x:c>
      <x:c r="D608" s="18" t="e">
        <x:f>HYPERLINK("https://www.youtube.com/watch?v=rmhuPLje7iI","Watch video")</x:f>
        <x:v>HYPERLINK is not implemented. linkLocation=https://www.youtube.com/watch?v=rmhuPLje7iI, friendlyName=Watch video</x:v>
      </x:c>
      <x:c r="E608" s="18" t="e">
        <x:f>HYPERLINK("transcripts/rmhuPLje7iI.html","Complete transcript")</x:f>
        <x:v>HYPERLINK is not implemented. linkLocation=transcripts/rmhuPLje7iI.html, friendlyName=Complete transcript</x:v>
      </x:c>
      <x:c r="F608" s="13" t="str">
        <x:v>UNKNOWN_REQUIRES_REVIEW</x:v>
      </x:c>
      <x:c r="G608" s="17" t="str">
        <x:v>UNREVIEWED</x:v>
      </x:c>
      <x:c r="H608" s="17" t="str"/>
      <x:c r="I608" s="17" t="str"/>
      <x:c r="J608" s="17" t="str"/>
      <x:c r="K608" s="17" t="str"/>
      <x:c r="L608" s="17" t="str"/>
      <x:c r="M608" s="17" t="str">
        <x:v>PENDING WHOLE-VIDEO REVIEW</x:v>
      </x:c>
      <x:c r="N608" s="15" t="n">
        <x:v>67</x:v>
      </x:c>
      <x:c r="O608" s="15" t="n">
        <x:v>476</x:v>
      </x:c>
      <x:c r="P608" s="15" t="n">
        <x:v>153</x:v>
      </x:c>
      <x:c r="Q608" s="13" t="str">
        <x:v>NO_LARGE_TAIL_GAP</x:v>
      </x:c>
      <x:c r="R608" s="13" t="str"/>
      <x:c r="S608" s="16" t="n">
        <x:v>0</x:v>
      </x:c>
      <x:c r="T608" s="13" t="str">
        <x:v>c23e5e335672d87ba44ba12189ad5fe83d2fe75d09c33501d2dfe89a3200890a</x:v>
      </x:c>
    </x:row>
    <x:row r="609" ht="15" hidden="0" customHeight="1">
      <x:c r="A609" s="13" t="str">
        <x:v>rr6kYEDGnSk</x:v>
      </x:c>
      <x:c r="B609" s="13" t="str">
        <x:v>Stock Trading Lessons | 4 3 20 Stocks for Breakfast</x:v>
      </x:c>
      <x:c r="C609" s="14" t="d">
        <x:v>2020-04-03T00:00:00.000Z</x:v>
      </x:c>
      <x:c r="D609" s="18" t="e">
        <x:f>HYPERLINK("https://www.youtube.com/watch?v=rr6kYEDGnSk","Watch video")</x:f>
        <x:v>HYPERLINK is not implemented. linkLocation=https://www.youtube.com/watch?v=rr6kYEDGnSk, friendlyName=Watch video</x:v>
      </x:c>
      <x:c r="E609" s="18" t="e">
        <x:f>HYPERLINK("transcripts/rr6kYEDGnSk.html","Complete transcript")</x:f>
        <x:v>HYPERLINK is not implemented. linkLocation=transcripts/rr6kYEDGnSk.html, friendlyName=Complete transcript</x:v>
      </x:c>
      <x:c r="F609" s="13" t="str">
        <x:v>PETE_EXPLICIT</x:v>
      </x:c>
      <x:c r="G609" s="17" t="str">
        <x:v>UNREVIEWED</x:v>
      </x:c>
      <x:c r="H609" s="17" t="str"/>
      <x:c r="I609" s="17" t="str"/>
      <x:c r="J609" s="17" t="str"/>
      <x:c r="K609" s="17" t="str"/>
      <x:c r="L609" s="17" t="str"/>
      <x:c r="M609" s="17" t="str">
        <x:v>PENDING WHOLE-VIDEO REVIEW</x:v>
      </x:c>
      <x:c r="N609" s="15" t="n">
        <x:v>451</x:v>
      </x:c>
      <x:c r="O609" s="15" t="n">
        <x:v>3256</x:v>
      </x:c>
      <x:c r="P609" s="15" t="n">
        <x:v>1001</x:v>
      </x:c>
      <x:c r="Q609" s="13" t="str">
        <x:v>NO_LARGE_TAIL_GAP</x:v>
      </x:c>
      <x:c r="R609" s="13" t="str"/>
      <x:c r="S609" s="16" t="n">
        <x:v>0</x:v>
      </x:c>
      <x:c r="T609" s="13" t="str">
        <x:v>73f95cbc28b9df75db73662e5e9c37bf833e8eb177caddf0ea1e5a69cc6b5d4a</x:v>
      </x:c>
    </x:row>
    <x:row r="610" ht="15" hidden="0" customHeight="1">
      <x:c r="A610" s="13" t="str">
        <x:v>rrupZ3F0we0</x:v>
      </x:c>
      <x:c r="B610" s="13" t="str">
        <x:v>PROFESSIONAL TRADING SKILLS | MOTIVATION</x:v>
      </x:c>
      <x:c r="C610" s="14" t="d">
        <x:v>2021-12-09T00:00:00.000Z</x:v>
      </x:c>
      <x:c r="D610" s="18" t="e">
        <x:f>HYPERLINK("https://www.youtube.com/watch?v=rrupZ3F0we0","Watch video")</x:f>
        <x:v>HYPERLINK is not implemented. linkLocation=https://www.youtube.com/watch?v=rrupZ3F0we0, friendlyName=Watch video</x:v>
      </x:c>
      <x:c r="E610" s="18" t="e">
        <x:f>HYPERLINK("transcripts/rrupZ3F0we0.html","Complete transcript")</x:f>
        <x:v>HYPERLINK is not implemented. linkLocation=transcripts/rrupZ3F0we0.html, friendlyName=Complete transcript</x:v>
      </x:c>
      <x:c r="F610" s="13" t="str">
        <x:v>UNKNOWN_REQUIRES_REVIEW</x:v>
      </x:c>
      <x:c r="G610" s="17" t="str">
        <x:v>UNREVIEWED</x:v>
      </x:c>
      <x:c r="H610" s="17" t="str"/>
      <x:c r="I610" s="17" t="str"/>
      <x:c r="J610" s="17" t="str"/>
      <x:c r="K610" s="17" t="str"/>
      <x:c r="L610" s="17" t="str"/>
      <x:c r="M610" s="17" t="str">
        <x:v>PENDING WHOLE-VIDEO REVIEW</x:v>
      </x:c>
      <x:c r="N610" s="15" t="n">
        <x:v>606</x:v>
      </x:c>
      <x:c r="O610" s="15" t="n">
        <x:v>4006</x:v>
      </x:c>
      <x:c r="P610" s="15" t="n">
        <x:v>1259</x:v>
      </x:c>
      <x:c r="Q610" s="13" t="str">
        <x:v>NO_LARGE_TAIL_GAP</x:v>
      </x:c>
      <x:c r="R610" s="13" t="str"/>
      <x:c r="S610" s="16" t="n">
        <x:v>0</x:v>
      </x:c>
      <x:c r="T610" s="13" t="str">
        <x:v>a881da3fc72eadff3e15b3ae55cdc0afb6bcc4e0d47b462a5df489ca57d60382</x:v>
      </x:c>
    </x:row>
    <x:row r="611" ht="15" hidden="0" customHeight="1">
      <x:c r="A611" s="13" t="str">
        <x:v>ruSCeeCBaow</x:v>
      </x:c>
      <x:c r="B611" s="13" t="str">
        <x:v>Swing Trading Mechanics: Why Most Traders Fail</x:v>
      </x:c>
      <x:c r="C611" s="14" t="d">
        <x:v>2026-05-11T00:00:00.000Z</x:v>
      </x:c>
      <x:c r="D611" s="18" t="e">
        <x:f>HYPERLINK("https://www.youtube.com/watch?v=ruSCeeCBaow","Watch video")</x:f>
        <x:v>HYPERLINK is not implemented. linkLocation=https://www.youtube.com/watch?v=ruSCeeCBaow, friendlyName=Watch video</x:v>
      </x:c>
      <x:c r="E611" s="18" t="e">
        <x:f>HYPERLINK("transcripts/ruSCeeCBaow.html","Complete transcript")</x:f>
        <x:v>HYPERLINK is not implemented. linkLocation=transcripts/ruSCeeCBaow.html, friendlyName=Complete transcript</x:v>
      </x:c>
      <x:c r="F611" s="13" t="str">
        <x:v>UNKNOWN_REQUIRES_REVIEW</x:v>
      </x:c>
      <x:c r="G611" s="17" t="str">
        <x:v>UNREVIEWED</x:v>
      </x:c>
      <x:c r="H611" s="17" t="str"/>
      <x:c r="I611" s="17" t="str"/>
      <x:c r="J611" s="17" t="str"/>
      <x:c r="K611" s="17" t="str"/>
      <x:c r="L611" s="17" t="str"/>
      <x:c r="M611" s="17" t="str">
        <x:v>PENDING WHOLE-VIDEO REVIEW</x:v>
      </x:c>
      <x:c r="N611" s="15" t="n">
        <x:v>261</x:v>
      </x:c>
      <x:c r="O611" s="15" t="n">
        <x:v>1548</x:v>
      </x:c>
      <x:c r="P611" s="15" t="n">
        <x:v>534</x:v>
      </x:c>
      <x:c r="Q611" s="13" t="str">
        <x:v>NO_LARGE_TAIL_GAP</x:v>
      </x:c>
      <x:c r="R611" s="13" t="str"/>
      <x:c r="S611" s="16" t="n">
        <x:v>0</x:v>
      </x:c>
      <x:c r="T611" s="13" t="str">
        <x:v>c2ce0008e70fcda91e8f9ae808c16ba5f917c55170a63227e168008f06618ef8</x:v>
      </x:c>
    </x:row>
    <x:row r="612" ht="15" hidden="0" customHeight="1">
      <x:c r="A612" s="13" t="str">
        <x:v>rx7C8CFazJg</x:v>
      </x:c>
      <x:c r="B612" s="13" t="str">
        <x:v>You’ll Never Go Back To Your Day Trading Method After This</x:v>
      </x:c>
      <x:c r="C612" s="14" t="d">
        <x:v>2021-11-16T00:00:00.000Z</x:v>
      </x:c>
      <x:c r="D612" s="18" t="e">
        <x:f>HYPERLINK("https://www.youtube.com/watch?v=rx7C8CFazJg","Watch video")</x:f>
        <x:v>HYPERLINK is not implemented. linkLocation=https://www.youtube.com/watch?v=rx7C8CFazJg, friendlyName=Watch video</x:v>
      </x:c>
      <x:c r="E612" s="18" t="e">
        <x:f>HYPERLINK("transcripts/rx7C8CFazJg.html","Complete transcript")</x:f>
        <x:v>HYPERLINK is not implemented. linkLocation=transcripts/rx7C8CFazJg.html, friendlyName=Complete transcript</x:v>
      </x:c>
      <x:c r="F612" s="13" t="str">
        <x:v>UNKNOWN_REQUIRES_REVIEW</x:v>
      </x:c>
      <x:c r="G612" s="17" t="str">
        <x:v>UNREVIEWED</x:v>
      </x:c>
      <x:c r="H612" s="17" t="str"/>
      <x:c r="I612" s="17" t="str"/>
      <x:c r="J612" s="17" t="str"/>
      <x:c r="K612" s="17" t="str"/>
      <x:c r="L612" s="17" t="str"/>
      <x:c r="M612" s="17" t="str">
        <x:v>PENDING WHOLE-VIDEO REVIEW</x:v>
      </x:c>
      <x:c r="N612" s="15" t="n">
        <x:v>335</x:v>
      </x:c>
      <x:c r="O612" s="15" t="n">
        <x:v>2150</x:v>
      </x:c>
      <x:c r="P612" s="15" t="n">
        <x:v>657</x:v>
      </x:c>
      <x:c r="Q612" s="13" t="str">
        <x:v>NO_LARGE_TAIL_GAP</x:v>
      </x:c>
      <x:c r="R612" s="13" t="str"/>
      <x:c r="S612" s="16" t="n">
        <x:v>0</x:v>
      </x:c>
      <x:c r="T612" s="13" t="str">
        <x:v>06b603c1cdab85163cd5617d6bc740aeb47b466478e66e2306c6a889825cea41</x:v>
      </x:c>
    </x:row>
    <x:row r="613" ht="15" hidden="0" customHeight="1">
      <x:c r="A613" s="13" t="str">
        <x:v>s-kH2uCpt7I</x:v>
      </x:c>
      <x:c r="B613" s="13" t="str">
        <x:v>Top 5 Day Trading Mistakes | Stocks for Breakfast</x:v>
      </x:c>
      <x:c r="C613" s="14" t="d">
        <x:v>2020-08-10T00:00:00.000Z</x:v>
      </x:c>
      <x:c r="D613" s="18" t="e">
        <x:f>HYPERLINK("https://www.youtube.com/watch?v=s-kH2uCpt7I","Watch video")</x:f>
        <x:v>HYPERLINK is not implemented. linkLocation=https://www.youtube.com/watch?v=s-kH2uCpt7I, friendlyName=Watch video</x:v>
      </x:c>
      <x:c r="E613" s="18" t="e">
        <x:f>HYPERLINK("transcripts/s-kH2uCpt7I.html","Complete transcript")</x:f>
        <x:v>HYPERLINK is not implemented. linkLocation=transcripts/s-kH2uCpt7I.html, friendlyName=Complete transcript</x:v>
      </x:c>
      <x:c r="F613" s="13" t="str">
        <x:v>PETE_EXPLICIT</x:v>
      </x:c>
      <x:c r="G613" s="17" t="str">
        <x:v>UNREVIEWED</x:v>
      </x:c>
      <x:c r="H613" s="17" t="str"/>
      <x:c r="I613" s="17" t="str"/>
      <x:c r="J613" s="17" t="str"/>
      <x:c r="K613" s="17" t="str"/>
      <x:c r="L613" s="17" t="str"/>
      <x:c r="M613" s="17" t="str">
        <x:v>PENDING WHOLE-VIDEO REVIEW</x:v>
      </x:c>
      <x:c r="N613" s="15" t="n">
        <x:v>818</x:v>
      </x:c>
      <x:c r="O613" s="15" t="n">
        <x:v>5187</x:v>
      </x:c>
      <x:c r="P613" s="15" t="n">
        <x:v>1408</x:v>
      </x:c>
      <x:c r="Q613" s="13" t="str">
        <x:v>NO_LARGE_TAIL_GAP</x:v>
      </x:c>
      <x:c r="R613" s="13" t="str"/>
      <x:c r="S613" s="16" t="n">
        <x:v>0</x:v>
      </x:c>
      <x:c r="T613" s="13" t="str">
        <x:v>47ae21a86c843b125dbcfce4acd9712d97ca6b007b63936a6a1f31da255efc46</x:v>
      </x:c>
    </x:row>
    <x:row r="614" ht="15" hidden="0" customHeight="1">
      <x:c r="A614" s="13" t="str">
        <x:v>sduLzPBzs1c</x:v>
      </x:c>
      <x:c r="B614" s="13" t="str">
        <x:v>Best Stock Picks Today | MSFT AAPL  Swing Trades 1-21-21</x:v>
      </x:c>
      <x:c r="C614" s="14" t="d">
        <x:v>2021-01-21T00:00:00.000Z</x:v>
      </x:c>
      <x:c r="D614" s="18" t="e">
        <x:f>HYPERLINK("https://www.youtube.com/watch?v=sduLzPBzs1c","Watch video")</x:f>
        <x:v>HYPERLINK is not implemented. linkLocation=https://www.youtube.com/watch?v=sduLzPBzs1c, friendlyName=Watch video</x:v>
      </x:c>
      <x:c r="E614" s="18" t="e">
        <x:f>HYPERLINK("transcripts/sduLzPBzs1c.html","Complete transcript")</x:f>
        <x:v>HYPERLINK is not implemented. linkLocation=transcripts/sduLzPBzs1c.html, friendlyName=Complete transcript</x:v>
      </x:c>
      <x:c r="F614" s="13" t="str">
        <x:v>PETE_EXPLICIT</x:v>
      </x:c>
      <x:c r="G614" s="17" t="str">
        <x:v>UNREVIEWED</x:v>
      </x:c>
      <x:c r="H614" s="17" t="str"/>
      <x:c r="I614" s="17" t="str"/>
      <x:c r="J614" s="17" t="str"/>
      <x:c r="K614" s="17" t="str"/>
      <x:c r="L614" s="17" t="str"/>
      <x:c r="M614" s="17" t="str">
        <x:v>PENDING WHOLE-VIDEO REVIEW</x:v>
      </x:c>
      <x:c r="N614" s="15" t="n">
        <x:v>571</x:v>
      </x:c>
      <x:c r="O614" s="15" t="n">
        <x:v>3636</x:v>
      </x:c>
      <x:c r="P614" s="15" t="n">
        <x:v>976</x:v>
      </x:c>
      <x:c r="Q614" s="13" t="str">
        <x:v>NO_LARGE_TAIL_GAP</x:v>
      </x:c>
      <x:c r="R614" s="13" t="str"/>
      <x:c r="S614" s="16" t="n">
        <x:v>0</x:v>
      </x:c>
      <x:c r="T614" s="13" t="str">
        <x:v>a6bb08369fd540578e301ec60bbcfa1bc9ae03e148eaecc25996b277c544a4ce</x:v>
      </x:c>
    </x:row>
    <x:row r="615" ht="24" hidden="0" customHeight="1">
      <x:c r="A615" s="13" t="str">
        <x:v>snNOrwHKz9M</x:v>
      </x:c>
      <x:c r="B615" s="13" t="str">
        <x:v>Options Trading Insight | Stock Replacement Strategy and Whether to Buy ATM or Deep ITM</x:v>
      </x:c>
      <x:c r="C615" s="14" t="d">
        <x:v>2024-07-09T00:00:00.000Z</x:v>
      </x:c>
      <x:c r="D615" s="18" t="e">
        <x:f>HYPERLINK("https://www.youtube.com/watch?v=snNOrwHKz9M","Watch video")</x:f>
        <x:v>HYPERLINK is not implemented. linkLocation=https://www.youtube.com/watch?v=snNOrwHKz9M, friendlyName=Watch video</x:v>
      </x:c>
      <x:c r="E615" s="18" t="e">
        <x:f>HYPERLINK("transcripts/snNOrwHKz9M.html","Complete transcript")</x:f>
        <x:v>HYPERLINK is not implemented. linkLocation=transcripts/snNOrwHKz9M.html, friendlyName=Complete transcript</x:v>
      </x:c>
      <x:c r="F615" s="13" t="str">
        <x:v>UNKNOWN_REQUIRES_REVIEW</x:v>
      </x:c>
      <x:c r="G615" s="17" t="str">
        <x:v>UNREVIEWED</x:v>
      </x:c>
      <x:c r="H615" s="17" t="str"/>
      <x:c r="I615" s="17" t="str"/>
      <x:c r="J615" s="17" t="str"/>
      <x:c r="K615" s="17" t="str"/>
      <x:c r="L615" s="17" t="str"/>
      <x:c r="M615" s="17" t="str">
        <x:v>PENDING WHOLE-VIDEO REVIEW</x:v>
      </x:c>
      <x:c r="N615" s="15" t="n">
        <x:v>39</x:v>
      </x:c>
      <x:c r="O615" s="15" t="n">
        <x:v>277</x:v>
      </x:c>
      <x:c r="P615" s="15" t="n">
        <x:v>81</x:v>
      </x:c>
      <x:c r="Q615" s="13" t="str">
        <x:v>NO_LARGE_TAIL_GAP</x:v>
      </x:c>
      <x:c r="R615" s="13" t="str"/>
      <x:c r="S615" s="16" t="n">
        <x:v>1</x:v>
      </x:c>
      <x:c r="T615" s="13" t="str">
        <x:v>5cad6ba51be1db95fa53579f088b1734dc0bf6eb4c71a67f8258a801a9dc34f0</x:v>
      </x:c>
    </x:row>
    <x:row r="616" ht="15" hidden="0" customHeight="1">
      <x:c r="A616" s="13" t="str">
        <x:v>so3feJaoSys</x:v>
      </x:c>
      <x:c r="B616" s="13" t="str">
        <x:v>Stock Trading Webinar Invitation | Stocks for Breakfast 7-30-20</x:v>
      </x:c>
      <x:c r="C616" s="14" t="d">
        <x:v>2020-07-30T00:00:00.000Z</x:v>
      </x:c>
      <x:c r="D616" s="18" t="e">
        <x:f>HYPERLINK("https://www.youtube.com/watch?v=so3feJaoSys","Watch video")</x:f>
        <x:v>HYPERLINK is not implemented. linkLocation=https://www.youtube.com/watch?v=so3feJaoSys, friendlyName=Watch video</x:v>
      </x:c>
      <x:c r="E616" s="18" t="e">
        <x:f>HYPERLINK("transcripts/so3feJaoSys.html","Complete transcript")</x:f>
        <x:v>HYPERLINK is not implemented. linkLocation=transcripts/so3feJaoSys.html, friendlyName=Complete transcript</x:v>
      </x:c>
      <x:c r="F616" s="13" t="str">
        <x:v>PETE_EXPLICIT</x:v>
      </x:c>
      <x:c r="G616" s="17" t="str">
        <x:v>UNREVIEWED</x:v>
      </x:c>
      <x:c r="H616" s="17" t="str"/>
      <x:c r="I616" s="17" t="str"/>
      <x:c r="J616" s="17" t="str"/>
      <x:c r="K616" s="17" t="str"/>
      <x:c r="L616" s="17" t="str"/>
      <x:c r="M616" s="17" t="str">
        <x:v>PENDING WHOLE-VIDEO REVIEW</x:v>
      </x:c>
      <x:c r="N616" s="15" t="n">
        <x:v>347</x:v>
      </x:c>
      <x:c r="O616" s="15" t="n">
        <x:v>2167</x:v>
      </x:c>
      <x:c r="P616" s="15" t="n">
        <x:v>625</x:v>
      </x:c>
      <x:c r="Q616" s="13" t="str">
        <x:v>NO_LARGE_TAIL_GAP</x:v>
      </x:c>
      <x:c r="R616" s="13" t="str"/>
      <x:c r="S616" s="16" t="n">
        <x:v>0</x:v>
      </x:c>
      <x:c r="T616" s="13" t="str">
        <x:v>32f6348930ff9f5526d5e9505f076fab22bb9ddc82dbeb0b4e407a60d39526f2</x:v>
      </x:c>
    </x:row>
    <x:row r="617" ht="15" hidden="0" customHeight="1">
      <x:c r="A617" s="13" t="str">
        <x:v>srphsQpx2Uc</x:v>
      </x:c>
      <x:c r="B617" s="13" t="str">
        <x:v>Making Cash in a Stock Market Crash - Short Selling</x:v>
      </x:c>
      <x:c r="C617" s="14" t="d">
        <x:v>2022-05-19T00:00:00.000Z</x:v>
      </x:c>
      <x:c r="D617" s="18" t="e">
        <x:f>HYPERLINK("https://www.youtube.com/watch?v=srphsQpx2Uc","Watch video")</x:f>
        <x:v>HYPERLINK is not implemented. linkLocation=https://www.youtube.com/watch?v=srphsQpx2Uc, friendlyName=Watch video</x:v>
      </x:c>
      <x:c r="E617" s="18" t="e">
        <x:f>HYPERLINK("transcripts/srphsQpx2Uc.html","Complete transcript")</x:f>
        <x:v>HYPERLINK is not implemented. linkLocation=transcripts/srphsQpx2Uc.html, friendlyName=Complete transcript</x:v>
      </x:c>
      <x:c r="F617" s="13" t="str">
        <x:v>PETE_EXPLICIT</x:v>
      </x:c>
      <x:c r="G617" s="17" t="str">
        <x:v>UNREVIEWED</x:v>
      </x:c>
      <x:c r="H617" s="17" t="str"/>
      <x:c r="I617" s="17" t="str"/>
      <x:c r="J617" s="17" t="str"/>
      <x:c r="K617" s="17" t="str"/>
      <x:c r="L617" s="17" t="str"/>
      <x:c r="M617" s="17" t="str">
        <x:v>PENDING WHOLE-VIDEO REVIEW</x:v>
      </x:c>
      <x:c r="N617" s="15" t="n">
        <x:v>399</x:v>
      </x:c>
      <x:c r="O617" s="15" t="n">
        <x:v>2508</x:v>
      </x:c>
      <x:c r="P617" s="15" t="n">
        <x:v>829</x:v>
      </x:c>
      <x:c r="Q617" s="13" t="str">
        <x:v>NO_LARGE_TAIL_GAP</x:v>
      </x:c>
      <x:c r="R617" s="13" t="str"/>
      <x:c r="S617" s="16" t="n">
        <x:v>0</x:v>
      </x:c>
      <x:c r="T617" s="13" t="str">
        <x:v>10145cfa8807b7b639444f49d60af61311de187aa3745ad6dc5ab6ec3dd875fc</x:v>
      </x:c>
    </x:row>
    <x:row r="618" ht="15" hidden="0" customHeight="1">
      <x:c r="A618" s="13" t="str">
        <x:v>t-mVVLx7Iho</x:v>
      </x:c>
      <x:c r="B618" s="13" t="str">
        <x:v>Options Strategies:  How To Trade Into Volatility</x:v>
      </x:c>
      <x:c r="C618" s="14" t="d">
        <x:v>2024-07-10T00:00:00.000Z</x:v>
      </x:c>
      <x:c r="D618" s="18" t="e">
        <x:f>HYPERLINK("https://www.youtube.com/watch?v=t-mVVLx7Iho","Watch video")</x:f>
        <x:v>HYPERLINK is not implemented. linkLocation=https://www.youtube.com/watch?v=t-mVVLx7Iho, friendlyName=Watch video</x:v>
      </x:c>
      <x:c r="E618" s="18" t="e">
        <x:f>HYPERLINK("transcripts/t-mVVLx7Iho.html","Complete transcript")</x:f>
        <x:v>HYPERLINK is not implemented. linkLocation=transcripts/t-mVVLx7Iho.html, friendlyName=Complete transcript</x:v>
      </x:c>
      <x:c r="F618" s="13" t="str">
        <x:v>UNKNOWN_REQUIRES_REVIEW</x:v>
      </x:c>
      <x:c r="G618" s="17" t="str">
        <x:v>UNREVIEWED</x:v>
      </x:c>
      <x:c r="H618" s="17" t="str"/>
      <x:c r="I618" s="17" t="str"/>
      <x:c r="J618" s="17" t="str"/>
      <x:c r="K618" s="17" t="str"/>
      <x:c r="L618" s="17" t="str"/>
      <x:c r="M618" s="17" t="str">
        <x:v>PENDING WHOLE-VIDEO REVIEW</x:v>
      </x:c>
      <x:c r="N618" s="15" t="n">
        <x:v>228</x:v>
      </x:c>
      <x:c r="O618" s="15" t="n">
        <x:v>1690</x:v>
      </x:c>
      <x:c r="P618" s="15" t="n">
        <x:v>503</x:v>
      </x:c>
      <x:c r="Q618" s="13" t="str">
        <x:v>NO_LARGE_TAIL_GAP</x:v>
      </x:c>
      <x:c r="R618" s="13" t="str"/>
      <x:c r="S618" s="16" t="n">
        <x:v>0</x:v>
      </x:c>
      <x:c r="T618" s="13" t="str">
        <x:v>df2960ea095b75e785553161d680546461da800fce818e836daa03e6fb0f610d</x:v>
      </x:c>
    </x:row>
    <x:row r="619" ht="15" hidden="0" customHeight="1">
      <x:c r="A619" s="13" t="str">
        <x:v>t85W1Evo_1I</x:v>
      </x:c>
      <x:c r="B619" s="13" t="str">
        <x:v>Options Trader Pro Tip | GE Wow! How To Trade It and Fade It All with Options!</x:v>
      </x:c>
      <x:c r="C619" s="14" t="d">
        <x:v>2024-07-09T00:00:00.000Z</x:v>
      </x:c>
      <x:c r="D619" s="18" t="e">
        <x:f>HYPERLINK("https://www.youtube.com/watch?v=t85W1Evo_1I","Watch video")</x:f>
        <x:v>HYPERLINK is not implemented. linkLocation=https://www.youtube.com/watch?v=t85W1Evo_1I, friendlyName=Watch video</x:v>
      </x:c>
      <x:c r="E619" s="18" t="e">
        <x:f>HYPERLINK("transcripts/t85W1Evo_1I.html","Complete transcript")</x:f>
        <x:v>HYPERLINK is not implemented. linkLocation=transcripts/t85W1Evo_1I.html, friendlyName=Complete transcript</x:v>
      </x:c>
      <x:c r="F619" s="13" t="str">
        <x:v>NON_PETE_EXPLICIT_JOHN</x:v>
      </x:c>
      <x:c r="G619" s="17" t="str">
        <x:v>UNREVIEWED</x:v>
      </x:c>
      <x:c r="H619" s="17" t="str"/>
      <x:c r="I619" s="17" t="str"/>
      <x:c r="J619" s="17" t="str"/>
      <x:c r="K619" s="17" t="str"/>
      <x:c r="L619" s="17" t="str"/>
      <x:c r="M619" s="17" t="str">
        <x:v>PENDING WHOLE-VIDEO REVIEW</x:v>
      </x:c>
      <x:c r="N619" s="15" t="n">
        <x:v>232</x:v>
      </x:c>
      <x:c r="O619" s="15" t="n">
        <x:v>1709</x:v>
      </x:c>
      <x:c r="P619" s="15" t="n">
        <x:v>514</x:v>
      </x:c>
      <x:c r="Q619" s="13" t="str">
        <x:v>NO_LARGE_TAIL_GAP</x:v>
      </x:c>
      <x:c r="R619" s="13" t="str"/>
      <x:c r="S619" s="16" t="n">
        <x:v>0</x:v>
      </x:c>
      <x:c r="T619" s="13" t="str">
        <x:v>4f060413ab4e9e733d44092eb94faae7989036dacac5013987c3e4394f618bb3</x:v>
      </x:c>
    </x:row>
    <x:row r="620" ht="15" hidden="0" customHeight="1">
      <x:c r="A620" s="13" t="str">
        <x:v>tM98BQS5AJA</x:v>
      </x:c>
      <x:c r="B620" s="13" t="str">
        <x:v>1: Stocks to Buy Now: Stock Market Edge</x:v>
      </x:c>
      <x:c r="C620" s="14" t="d">
        <x:v>2022-11-01T00:00:00.000Z</x:v>
      </x:c>
      <x:c r="D620" s="18" t="e">
        <x:f>HYPERLINK("https://www.youtube.com/watch?v=tM98BQS5AJA","Watch video")</x:f>
        <x:v>HYPERLINK is not implemented. linkLocation=https://www.youtube.com/watch?v=tM98BQS5AJA, friendlyName=Watch video</x:v>
      </x:c>
      <x:c r="E620" s="18" t="e">
        <x:f>HYPERLINK("transcripts/tM98BQS5AJA.html","Complete transcript")</x:f>
        <x:v>HYPERLINK is not implemented. linkLocation=transcripts/tM98BQS5AJA.html, friendlyName=Complete transcript</x:v>
      </x:c>
      <x:c r="F620" s="13" t="str">
        <x:v>UNKNOWN_REQUIRES_REVIEW</x:v>
      </x:c>
      <x:c r="G620" s="17" t="str">
        <x:v>UNREVIEWED</x:v>
      </x:c>
      <x:c r="H620" s="17" t="str"/>
      <x:c r="I620" s="17" t="str"/>
      <x:c r="J620" s="17" t="str"/>
      <x:c r="K620" s="17" t="str"/>
      <x:c r="L620" s="17" t="str"/>
      <x:c r="M620" s="17" t="str">
        <x:v>PENDING WHOLE-VIDEO REVIEW</x:v>
      </x:c>
      <x:c r="N620" s="15" t="n">
        <x:v>54</x:v>
      </x:c>
      <x:c r="O620" s="15" t="n">
        <x:v>351</x:v>
      </x:c>
      <x:c r="P620" s="15" t="n">
        <x:v>116</x:v>
      </x:c>
      <x:c r="Q620" s="13" t="str">
        <x:v>NO_LARGE_TAIL_GAP</x:v>
      </x:c>
      <x:c r="R620" s="13" t="str"/>
      <x:c r="S620" s="16" t="n">
        <x:v>0</x:v>
      </x:c>
      <x:c r="T620" s="13" t="str">
        <x:v>d3795af49ff6301ce03082a38a84d4e729242eaedbdc7b49cf76782c1d2a7959</x:v>
      </x:c>
    </x:row>
    <x:row r="621" ht="15" hidden="0" customHeight="1">
      <x:c r="A621" s="13" t="str">
        <x:v>tPVTQt4clzk</x:v>
      </x:c>
      <x:c r="B621" s="13" t="str">
        <x:v>Best Stock Picks Today | SBUX Increases Dividend 10-1-20</x:v>
      </x:c>
      <x:c r="C621" s="14" t="d">
        <x:v>2020-10-01T00:00:00.000Z</x:v>
      </x:c>
      <x:c r="D621" s="18" t="e">
        <x:f>HYPERLINK("https://www.youtube.com/watch?v=tPVTQt4clzk","Watch video")</x:f>
        <x:v>HYPERLINK is not implemented. linkLocation=https://www.youtube.com/watch?v=tPVTQt4clzk, friendlyName=Watch video</x:v>
      </x:c>
      <x:c r="E621" s="18" t="e">
        <x:f>HYPERLINK("transcripts/tPVTQt4clzk.html","Complete transcript")</x:f>
        <x:v>HYPERLINK is not implemented. linkLocation=transcripts/tPVTQt4clzk.html, friendlyName=Complete transcript</x:v>
      </x:c>
      <x:c r="F621" s="13" t="str">
        <x:v>PETE_EXPLICIT</x:v>
      </x:c>
      <x:c r="G621" s="17" t="str">
        <x:v>UNREVIEWED</x:v>
      </x:c>
      <x:c r="H621" s="17" t="str"/>
      <x:c r="I621" s="17" t="str"/>
      <x:c r="J621" s="17" t="str"/>
      <x:c r="K621" s="17" t="str"/>
      <x:c r="L621" s="17" t="str"/>
      <x:c r="M621" s="17" t="str">
        <x:v>PENDING WHOLE-VIDEO REVIEW</x:v>
      </x:c>
      <x:c r="N621" s="15" t="n">
        <x:v>562</x:v>
      </x:c>
      <x:c r="O621" s="15" t="n">
        <x:v>3410</x:v>
      </x:c>
      <x:c r="P621" s="15" t="n">
        <x:v>982</x:v>
      </x:c>
      <x:c r="Q621" s="13" t="str">
        <x:v>NO_LARGE_TAIL_GAP</x:v>
      </x:c>
      <x:c r="R621" s="13" t="str"/>
      <x:c r="S621" s="16" t="n">
        <x:v>0</x:v>
      </x:c>
      <x:c r="T621" s="13" t="str">
        <x:v>4cc359c0e5569e0867fa8fc10a5e2c1dc1a66bfe47221aacbe9c1578800a2ccf</x:v>
      </x:c>
    </x:row>
    <x:row r="622" ht="15" hidden="0" customHeight="1">
      <x:c r="A622" s="13" t="str">
        <x:v>tPf1CjfJaOc</x:v>
      </x:c>
      <x:c r="B622" s="13" t="str">
        <x:v>The Daily Ticker EP9: NFLX and TSLA Earnings | David Trainer</x:v>
      </x:c>
      <x:c r="C622" s="14" t="d">
        <x:v>2023-04-20T00:00:00.000Z</x:v>
      </x:c>
      <x:c r="D622" s="18" t="e">
        <x:f>HYPERLINK("https://www.youtube.com/watch?v=tPf1CjfJaOc","Watch video")</x:f>
        <x:v>HYPERLINK is not implemented. linkLocation=https://www.youtube.com/watch?v=tPf1CjfJaOc, friendlyName=Watch video</x:v>
      </x:c>
      <x:c r="E622" s="18" t="e">
        <x:f>HYPERLINK("transcripts/tPf1CjfJaOc.html","Complete transcript")</x:f>
        <x:v>HYPERLINK is not implemented. linkLocation=transcripts/tPf1CjfJaOc.html, friendlyName=Complete transcript</x:v>
      </x:c>
      <x:c r="F622" s="13" t="str">
        <x:v>GUEST_OR_INTERVIEW</x:v>
      </x:c>
      <x:c r="G622" s="17" t="str">
        <x:v>UNREVIEWED</x:v>
      </x:c>
      <x:c r="H622" s="17" t="str"/>
      <x:c r="I622" s="17" t="str"/>
      <x:c r="J622" s="17" t="str"/>
      <x:c r="K622" s="17" t="str"/>
      <x:c r="L622" s="17" t="str"/>
      <x:c r="M622" s="17" t="str">
        <x:v>PENDING WHOLE-VIDEO REVIEW</x:v>
      </x:c>
      <x:c r="N622" s="15" t="n">
        <x:v>1147</x:v>
      </x:c>
      <x:c r="O622" s="15" t="n">
        <x:v>7632</x:v>
      </x:c>
      <x:c r="P622" s="15" t="n">
        <x:v>2387</x:v>
      </x:c>
      <x:c r="Q622" s="13" t="str">
        <x:v>NO_LARGE_TAIL_GAP</x:v>
      </x:c>
      <x:c r="R622" s="13" t="str"/>
      <x:c r="S622" s="16" t="n">
        <x:v>0</x:v>
      </x:c>
      <x:c r="T622" s="13" t="str">
        <x:v>4f9ef6e3c084a1bd401dc883e0c90ebb10e734d5e10c0881f98d1cfd58c3f895</x:v>
      </x:c>
    </x:row>
    <x:row r="623" ht="15" hidden="0" customHeight="1">
      <x:c r="A623" s="13" t="str">
        <x:v>tQE9aLvXKxk</x:v>
      </x:c>
      <x:c r="B623" s="13" t="str">
        <x:v>Best Stock Picks Today MRNA | May 20 2020</x:v>
      </x:c>
      <x:c r="C623" s="14" t="d">
        <x:v>2020-05-20T00:00:00.000Z</x:v>
      </x:c>
      <x:c r="D623" s="18" t="e">
        <x:f>HYPERLINK("https://www.youtube.com/watch?v=tQE9aLvXKxk","Watch video")</x:f>
        <x:v>HYPERLINK is not implemented. linkLocation=https://www.youtube.com/watch?v=tQE9aLvXKxk, friendlyName=Watch video</x:v>
      </x:c>
      <x:c r="E623" s="18" t="e">
        <x:f>HYPERLINK("transcripts/tQE9aLvXKxk.html","Complete transcript")</x:f>
        <x:v>HYPERLINK is not implemented. linkLocation=transcripts/tQE9aLvXKxk.html, friendlyName=Complete transcript</x:v>
      </x:c>
      <x:c r="F623" s="13" t="str">
        <x:v>UNKNOWN_REQUIRES_REVIEW</x:v>
      </x:c>
      <x:c r="G623" s="17" t="str">
        <x:v>UNREVIEWED</x:v>
      </x:c>
      <x:c r="H623" s="17" t="str"/>
      <x:c r="I623" s="17" t="str"/>
      <x:c r="J623" s="17" t="str"/>
      <x:c r="K623" s="17" t="str"/>
      <x:c r="L623" s="17" t="str"/>
      <x:c r="M623" s="17" t="str">
        <x:v>PENDING WHOLE-VIDEO REVIEW</x:v>
      </x:c>
      <x:c r="N623" s="15" t="n">
        <x:v>384</x:v>
      </x:c>
      <x:c r="O623" s="15" t="n">
        <x:v>2838</x:v>
      </x:c>
      <x:c r="P623" s="15" t="n">
        <x:v>821</x:v>
      </x:c>
      <x:c r="Q623" s="13" t="str">
        <x:v>NO_LARGE_TAIL_GAP</x:v>
      </x:c>
      <x:c r="R623" s="13" t="str"/>
      <x:c r="S623" s="16" t="n">
        <x:v>0</x:v>
      </x:c>
      <x:c r="T623" s="13" t="str">
        <x:v>08b0a89e38ec666b9486bd55656ea1f78f9ae610bc245245a3e08d847323f2e6</x:v>
      </x:c>
    </x:row>
    <x:row r="624" ht="15" hidden="0" customHeight="1">
      <x:c r="A624" s="13" t="str">
        <x:v>tQVd-Rs-Yx4</x:v>
      </x:c>
      <x:c r="B624" s="13" t="str">
        <x:v>TWTR Twitter Earnings Report | Best Stock Picks Today 2-9-21</x:v>
      </x:c>
      <x:c r="C624" s="14" t="d">
        <x:v>2021-02-09T00:00:00.000Z</x:v>
      </x:c>
      <x:c r="D624" s="18" t="e">
        <x:f>HYPERLINK("https://www.youtube.com/watch?v=tQVd-Rs-Yx4","Watch video")</x:f>
        <x:v>HYPERLINK is not implemented. linkLocation=https://www.youtube.com/watch?v=tQVd-Rs-Yx4, friendlyName=Watch video</x:v>
      </x:c>
      <x:c r="E624" s="18" t="e">
        <x:f>HYPERLINK("transcripts/tQVd-Rs-Yx4.html","Complete transcript")</x:f>
        <x:v>HYPERLINK is not implemented. linkLocation=transcripts/tQVd-Rs-Yx4.html, friendlyName=Complete transcript</x:v>
      </x:c>
      <x:c r="F624" s="13" t="str">
        <x:v>UNKNOWN_REQUIRES_REVIEW</x:v>
      </x:c>
      <x:c r="G624" s="17" t="str">
        <x:v>UNREVIEWED</x:v>
      </x:c>
      <x:c r="H624" s="17" t="str"/>
      <x:c r="I624" s="17" t="str"/>
      <x:c r="J624" s="17" t="str"/>
      <x:c r="K624" s="17" t="str"/>
      <x:c r="L624" s="17" t="str"/>
      <x:c r="M624" s="17" t="str">
        <x:v>PENDING WHOLE-VIDEO REVIEW</x:v>
      </x:c>
      <x:c r="N624" s="15" t="n">
        <x:v>305</x:v>
      </x:c>
      <x:c r="O624" s="15" t="n">
        <x:v>1875</x:v>
      </x:c>
      <x:c r="P624" s="15" t="n">
        <x:v>540</x:v>
      </x:c>
      <x:c r="Q624" s="13" t="str">
        <x:v>NO_LARGE_TAIL_GAP</x:v>
      </x:c>
      <x:c r="R624" s="13" t="str"/>
      <x:c r="S624" s="16" t="n">
        <x:v>0</x:v>
      </x:c>
      <x:c r="T624" s="13" t="str">
        <x:v>d92010fb5e954809a4b40bfb66b4737b77bec3956f264a757946962146b0a215</x:v>
      </x:c>
    </x:row>
    <x:row r="625" ht="15" hidden="0" customHeight="1">
      <x:c r="A625" s="13" t="str">
        <x:v>tfFfZS0-fi8</x:v>
      </x:c>
      <x:c r="B625" s="13" t="str">
        <x:v>Options Trading: How to Counter Trend Trade</x:v>
      </x:c>
      <x:c r="C625" s="14" t="d">
        <x:v>2024-07-10T00:00:00.000Z</x:v>
      </x:c>
      <x:c r="D625" s="18" t="e">
        <x:f>HYPERLINK("https://www.youtube.com/watch?v=tfFfZS0-fi8","Watch video")</x:f>
        <x:v>HYPERLINK is not implemented. linkLocation=https://www.youtube.com/watch?v=tfFfZS0-fi8, friendlyName=Watch video</x:v>
      </x:c>
      <x:c r="E625" s="18" t="e">
        <x:f>HYPERLINK("transcripts/tfFfZS0-fi8.html","Complete transcript")</x:f>
        <x:v>HYPERLINK is not implemented. linkLocation=transcripts/tfFfZS0-fi8.html, friendlyName=Complete transcript</x:v>
      </x:c>
      <x:c r="F625" s="13" t="str">
        <x:v>UNKNOWN_REQUIRES_REVIEW</x:v>
      </x:c>
      <x:c r="G625" s="17" t="str">
        <x:v>UNREVIEWED</x:v>
      </x:c>
      <x:c r="H625" s="17" t="str"/>
      <x:c r="I625" s="17" t="str"/>
      <x:c r="J625" s="17" t="str"/>
      <x:c r="K625" s="17" t="str"/>
      <x:c r="L625" s="17" t="str"/>
      <x:c r="M625" s="17" t="str">
        <x:v>PENDING WHOLE-VIDEO REVIEW</x:v>
      </x:c>
      <x:c r="N625" s="15" t="n">
        <x:v>161</x:v>
      </x:c>
      <x:c r="O625" s="15" t="n">
        <x:v>1190</x:v>
      </x:c>
      <x:c r="P625" s="15" t="n">
        <x:v>363</x:v>
      </x:c>
      <x:c r="Q625" s="13" t="str">
        <x:v>NO_LARGE_TAIL_GAP</x:v>
      </x:c>
      <x:c r="R625" s="13" t="str"/>
      <x:c r="S625" s="16" t="n">
        <x:v>0</x:v>
      </x:c>
      <x:c r="T625" s="13" t="str">
        <x:v>e6a174a39102ad758d3a804d7255357e5b0bb56d108bf2205491630653669cf3</x:v>
      </x:c>
    </x:row>
    <x:row r="626" ht="15" hidden="0" customHeight="1">
      <x:c r="A626" s="13" t="str">
        <x:v>tn6XJPhjqrE</x:v>
      </x:c>
      <x:c r="B626" s="13" t="str">
        <x:v>Trading MRNA Vaccine News | Best Stock Picks Today 12-1-20</x:v>
      </x:c>
      <x:c r="C626" s="14" t="d">
        <x:v>2020-12-01T00:00:00.000Z</x:v>
      </x:c>
      <x:c r="D626" s="18" t="e">
        <x:f>HYPERLINK("https://www.youtube.com/watch?v=tn6XJPhjqrE","Watch video")</x:f>
        <x:v>HYPERLINK is not implemented. linkLocation=https://www.youtube.com/watch?v=tn6XJPhjqrE, friendlyName=Watch video</x:v>
      </x:c>
      <x:c r="E626" s="18" t="e">
        <x:f>HYPERLINK("transcripts/tn6XJPhjqrE.html","Complete transcript")</x:f>
        <x:v>HYPERLINK is not implemented. linkLocation=transcripts/tn6XJPhjqrE.html, friendlyName=Complete transcript</x:v>
      </x:c>
      <x:c r="F626" s="13" t="str">
        <x:v>PETE_EXPLICIT</x:v>
      </x:c>
      <x:c r="G626" s="17" t="str">
        <x:v>UNREVIEWED</x:v>
      </x:c>
      <x:c r="H626" s="17" t="str"/>
      <x:c r="I626" s="17" t="str"/>
      <x:c r="J626" s="17" t="str"/>
      <x:c r="K626" s="17" t="str"/>
      <x:c r="L626" s="17" t="str"/>
      <x:c r="M626" s="17" t="str">
        <x:v>PENDING WHOLE-VIDEO REVIEW</x:v>
      </x:c>
      <x:c r="N626" s="15" t="n">
        <x:v>574</x:v>
      </x:c>
      <x:c r="O626" s="15" t="n">
        <x:v>3573</x:v>
      </x:c>
      <x:c r="P626" s="15" t="n">
        <x:v>993</x:v>
      </x:c>
      <x:c r="Q626" s="13" t="str">
        <x:v>NO_LARGE_TAIL_GAP</x:v>
      </x:c>
      <x:c r="R626" s="13" t="str"/>
      <x:c r="S626" s="16" t="n">
        <x:v>0</x:v>
      </x:c>
      <x:c r="T626" s="13" t="str">
        <x:v>168219ff777a5cbfa10190d3e17ed26a810c5ff9ac69bb18726865eae0871472</x:v>
      </x:c>
    </x:row>
    <x:row r="627" ht="15" hidden="0" customHeight="1">
      <x:c r="A627" s="13" t="str">
        <x:v>ttxgQNifbHw</x:v>
      </x:c>
      <x:c r="B627" s="13" t="str">
        <x:v>Trading TSLA Stock | 6-19-20 Best Stock Picks Today</x:v>
      </x:c>
      <x:c r="C627" s="14" t="d">
        <x:v>2020-06-19T00:00:00.000Z</x:v>
      </x:c>
      <x:c r="D627" s="18" t="e">
        <x:f>HYPERLINK("https://www.youtube.com/watch?v=ttxgQNifbHw","Watch video")</x:f>
        <x:v>HYPERLINK is not implemented. linkLocation=https://www.youtube.com/watch?v=ttxgQNifbHw, friendlyName=Watch video</x:v>
      </x:c>
      <x:c r="E627" s="18" t="e">
        <x:f>HYPERLINK("transcripts/ttxgQNifbHw.html","Complete transcript")</x:f>
        <x:v>HYPERLINK is not implemented. linkLocation=transcripts/ttxgQNifbHw.html, friendlyName=Complete transcript</x:v>
      </x:c>
      <x:c r="F627" s="13" t="str">
        <x:v>UNKNOWN_REQUIRES_REVIEW</x:v>
      </x:c>
      <x:c r="G627" s="17" t="str">
        <x:v>UNREVIEWED</x:v>
      </x:c>
      <x:c r="H627" s="17" t="str"/>
      <x:c r="I627" s="17" t="str"/>
      <x:c r="J627" s="17" t="str"/>
      <x:c r="K627" s="17" t="str"/>
      <x:c r="L627" s="17" t="str"/>
      <x:c r="M627" s="17" t="str">
        <x:v>PENDING WHOLE-VIDEO REVIEW</x:v>
      </x:c>
      <x:c r="N627" s="15" t="n">
        <x:v>393</x:v>
      </x:c>
      <x:c r="O627" s="15" t="n">
        <x:v>2832</x:v>
      </x:c>
      <x:c r="P627" s="15" t="n">
        <x:v>820</x:v>
      </x:c>
      <x:c r="Q627" s="13" t="str">
        <x:v>NO_LARGE_TAIL_GAP</x:v>
      </x:c>
      <x:c r="R627" s="13" t="str"/>
      <x:c r="S627" s="16" t="n">
        <x:v>0</x:v>
      </x:c>
      <x:c r="T627" s="13" t="str">
        <x:v>4724f8222f265540aff158a974ae51f117f54d953cb465e4cf7ff1e0b65151f6</x:v>
      </x:c>
    </x:row>
    <x:row r="628" ht="15" hidden="0" customHeight="1">
      <x:c r="A628" s="13" t="str">
        <x:v>tvZQFjxDOOE</x:v>
      </x:c>
      <x:c r="B628" s="13" t="str">
        <x:v>CHART PATTERN THAT STEALS YOUR MONEY | TECHNICAL ANALYSIS</x:v>
      </x:c>
      <x:c r="C628" s="14" t="d">
        <x:v>2022-01-05T00:00:00.000Z</x:v>
      </x:c>
      <x:c r="D628" s="18" t="e">
        <x:f>HYPERLINK("https://www.youtube.com/watch?v=tvZQFjxDOOE","Watch video")</x:f>
        <x:v>HYPERLINK is not implemented. linkLocation=https://www.youtube.com/watch?v=tvZQFjxDOOE, friendlyName=Watch video</x:v>
      </x:c>
      <x:c r="E628" s="18" t="e">
        <x:f>HYPERLINK("transcripts/tvZQFjxDOOE.html","Complete transcript")</x:f>
        <x:v>HYPERLINK is not implemented. linkLocation=transcripts/tvZQFjxDOOE.html, friendlyName=Complete transcript</x:v>
      </x:c>
      <x:c r="F628" s="13" t="str">
        <x:v>UNKNOWN_REQUIRES_REVIEW</x:v>
      </x:c>
      <x:c r="G628" s="17" t="str">
        <x:v>UNREVIEWED</x:v>
      </x:c>
      <x:c r="H628" s="17" t="str"/>
      <x:c r="I628" s="17" t="str"/>
      <x:c r="J628" s="17" t="str"/>
      <x:c r="K628" s="17" t="str"/>
      <x:c r="L628" s="17" t="str"/>
      <x:c r="M628" s="17" t="str">
        <x:v>PENDING WHOLE-VIDEO REVIEW</x:v>
      </x:c>
      <x:c r="N628" s="15" t="n">
        <x:v>381</x:v>
      </x:c>
      <x:c r="O628" s="15" t="n">
        <x:v>2375</x:v>
      </x:c>
      <x:c r="P628" s="15" t="n">
        <x:v>839</x:v>
      </x:c>
      <x:c r="Q628" s="13" t="str">
        <x:v>NO_LARGE_TAIL_GAP</x:v>
      </x:c>
      <x:c r="R628" s="13" t="str"/>
      <x:c r="S628" s="16" t="n">
        <x:v>0</x:v>
      </x:c>
      <x:c r="T628" s="13" t="str">
        <x:v>dfeecb114de4c48bd2b5cd5126610f89fab4b0ce9591df7e08d8f112da90fab8</x:v>
      </x:c>
    </x:row>
    <x:row r="629" ht="15" hidden="0" customHeight="1">
      <x:c r="A629" s="13" t="str">
        <x:v>tzV1b-sw9IE</x:v>
      </x:c>
      <x:c r="B629" s="13" t="str">
        <x:v>Day Trading Secrets | Stocks for Breakfast</x:v>
      </x:c>
      <x:c r="C629" s="14" t="d">
        <x:v>2020-12-16T00:00:00.000Z</x:v>
      </x:c>
      <x:c r="D629" s="18" t="e">
        <x:f>HYPERLINK("https://www.youtube.com/watch?v=tzV1b-sw9IE","Watch video")</x:f>
        <x:v>HYPERLINK is not implemented. linkLocation=https://www.youtube.com/watch?v=tzV1b-sw9IE, friendlyName=Watch video</x:v>
      </x:c>
      <x:c r="E629" s="18" t="e">
        <x:f>HYPERLINK("transcripts/tzV1b-sw9IE.html","Complete transcript")</x:f>
        <x:v>HYPERLINK is not implemented. linkLocation=transcripts/tzV1b-sw9IE.html, friendlyName=Complete transcript</x:v>
      </x:c>
      <x:c r="F629" s="13" t="str">
        <x:v>PETE_EXPLICIT</x:v>
      </x:c>
      <x:c r="G629" s="17" t="str">
        <x:v>UNREVIEWED</x:v>
      </x:c>
      <x:c r="H629" s="17" t="str"/>
      <x:c r="I629" s="17" t="str"/>
      <x:c r="J629" s="17" t="str"/>
      <x:c r="K629" s="17" t="str"/>
      <x:c r="L629" s="17" t="str"/>
      <x:c r="M629" s="17" t="str">
        <x:v>PENDING WHOLE-VIDEO REVIEW</x:v>
      </x:c>
      <x:c r="N629" s="15" t="n">
        <x:v>413</x:v>
      </x:c>
      <x:c r="O629" s="15" t="n">
        <x:v>2580</x:v>
      </x:c>
      <x:c r="P629" s="15" t="n">
        <x:v>710</x:v>
      </x:c>
      <x:c r="Q629" s="13" t="str">
        <x:v>NO_LARGE_TAIL_GAP</x:v>
      </x:c>
      <x:c r="R629" s="13" t="str"/>
      <x:c r="S629" s="16" t="n">
        <x:v>0</x:v>
      </x:c>
      <x:c r="T629" s="13" t="str">
        <x:v>f1d5fce5a6be6cf792a941933867d3f262470b175f12e2cb54bccfd0318de97d</x:v>
      </x:c>
    </x:row>
    <x:row r="630" ht="15" hidden="0" customHeight="1">
      <x:c r="A630" s="13" t="str">
        <x:v>u5ewOUgyiWw</x:v>
      </x:c>
      <x:c r="B630" s="13" t="str">
        <x:v>GS Earnings | Trading Game Plan | 4 16 15</x:v>
      </x:c>
      <x:c r="C630" s="14" t="d">
        <x:v>2015-04-16T00:00:00.000Z</x:v>
      </x:c>
      <x:c r="D630" s="18" t="e">
        <x:f>HYPERLINK("https://www.youtube.com/watch?v=u5ewOUgyiWw","Watch video")</x:f>
        <x:v>HYPERLINK is not implemented. linkLocation=https://www.youtube.com/watch?v=u5ewOUgyiWw, friendlyName=Watch video</x:v>
      </x:c>
      <x:c r="E630" s="18" t="e">
        <x:f>HYPERLINK("transcripts/u5ewOUgyiWw.html","Complete transcript")</x:f>
        <x:v>HYPERLINK is not implemented. linkLocation=transcripts/u5ewOUgyiWw.html, friendlyName=Complete transcript</x:v>
      </x:c>
      <x:c r="F630" s="13" t="str">
        <x:v>UNKNOWN_REQUIRES_REVIEW</x:v>
      </x:c>
      <x:c r="G630" s="17" t="str">
        <x:v>UNREVIEWED</x:v>
      </x:c>
      <x:c r="H630" s="17" t="str"/>
      <x:c r="I630" s="17" t="str"/>
      <x:c r="J630" s="17" t="str"/>
      <x:c r="K630" s="17" t="str"/>
      <x:c r="L630" s="17" t="str"/>
      <x:c r="M630" s="17" t="str">
        <x:v>PENDING WHOLE-VIDEO REVIEW</x:v>
      </x:c>
      <x:c r="N630" s="15" t="n">
        <x:v>431</x:v>
      </x:c>
      <x:c r="O630" s="15" t="n">
        <x:v>2983</x:v>
      </x:c>
      <x:c r="P630" s="15" t="n">
        <x:v>916</x:v>
      </x:c>
      <x:c r="Q630" s="13" t="str">
        <x:v>NO_LARGE_TAIL_GAP</x:v>
      </x:c>
      <x:c r="R630" s="13" t="str"/>
      <x:c r="S630" s="16" t="n">
        <x:v>0</x:v>
      </x:c>
      <x:c r="T630" s="13" t="str">
        <x:v>4cae80219978adf1495a01e398673f4a46199b3b2d1d802cb07ba8986fa2be15</x:v>
      </x:c>
    </x:row>
    <x:row r="631" ht="15" hidden="0" customHeight="1">
      <x:c r="A631" s="13" t="str">
        <x:v>u7LHc35M7Bk</x:v>
      </x:c>
      <x:c r="B631" s="13" t="str">
        <x:v>Is $5,000 A Substantial Amount to Start Options Trading?!</x:v>
      </x:c>
      <x:c r="C631" s="14" t="d">
        <x:v>2024-07-09T00:00:00.000Z</x:v>
      </x:c>
      <x:c r="D631" s="18" t="e">
        <x:f>HYPERLINK("https://www.youtube.com/watch?v=u7LHc35M7Bk","Watch video")</x:f>
        <x:v>HYPERLINK is not implemented. linkLocation=https://www.youtube.com/watch?v=u7LHc35M7Bk, friendlyName=Watch video</x:v>
      </x:c>
      <x:c r="E631" s="18" t="e">
        <x:f>HYPERLINK("transcripts/u7LHc35M7Bk.html","Complete transcript")</x:f>
        <x:v>HYPERLINK is not implemented. linkLocation=transcripts/u7LHc35M7Bk.html, friendlyName=Complete transcript</x:v>
      </x:c>
      <x:c r="F631" s="13" t="str">
        <x:v>UNKNOWN_REQUIRES_REVIEW</x:v>
      </x:c>
      <x:c r="G631" s="17" t="str">
        <x:v>UNREVIEWED</x:v>
      </x:c>
      <x:c r="H631" s="17" t="str"/>
      <x:c r="I631" s="17" t="str"/>
      <x:c r="J631" s="17" t="str"/>
      <x:c r="K631" s="17" t="str"/>
      <x:c r="L631" s="17" t="str"/>
      <x:c r="M631" s="17" t="str">
        <x:v>PENDING WHOLE-VIDEO REVIEW</x:v>
      </x:c>
      <x:c r="N631" s="15" t="n">
        <x:v>39</x:v>
      </x:c>
      <x:c r="O631" s="15" t="n">
        <x:v>265</x:v>
      </x:c>
      <x:c r="P631" s="15" t="n">
        <x:v>85</x:v>
      </x:c>
      <x:c r="Q631" s="13" t="str">
        <x:v>NO_LARGE_TAIL_GAP</x:v>
      </x:c>
      <x:c r="R631" s="13" t="str"/>
      <x:c r="S631" s="16" t="n">
        <x:v>0</x:v>
      </x:c>
      <x:c r="T631" s="13" t="str">
        <x:v>8bba901848f35da34c1ee45fc5de54d17c1ffdde4f4f95dbaf7cbf21f62dd56c</x:v>
      </x:c>
    </x:row>
    <x:row r="632" ht="24" hidden="0" customHeight="1">
      <x:c r="A632" s="13" t="str">
        <x:v>uAVlgn0gcjw</x:v>
      </x:c>
      <x:c r="B632" s="13" t="str">
        <x:v>7: Tape Reading: Stocks in Play</x:v>
      </x:c>
      <x:c r="C632" s="14" t="d">
        <x:v>2022-11-01T00:00:00.000Z</x:v>
      </x:c>
      <x:c r="D632" s="18" t="e">
        <x:f>HYPERLINK("https://www.youtube.com/watch?v=uAVlgn0gcjw","Watch video")</x:f>
        <x:v>HYPERLINK is not implemented. linkLocation=https://www.youtube.com/watch?v=uAVlgn0gcjw, friendlyName=Watch video</x:v>
      </x:c>
      <x:c r="E632" s="18" t="e">
        <x:f>HYPERLINK("transcripts/uAVlgn0gcjw.html","Complete transcript")</x:f>
        <x:v>HYPERLINK is not implemented. linkLocation=transcripts/uAVlgn0gcjw.html, friendlyName=Complete transcript</x:v>
      </x:c>
      <x:c r="F632" s="13" t="str">
        <x:v>UNKNOWN_REQUIRES_REVIEW</x:v>
      </x:c>
      <x:c r="G632" s="17" t="str">
        <x:v>Structured lesson excerpt</x:v>
      </x:c>
      <x:c r="H632" s="17" t="str">
        <x:v>Tape reading as argument building</x:v>
      </x:c>
      <x:c r="I632" s="17" t="str">
        <x:v>Contrasts buying only because a stock rose yesterday with a stronger contextual argument grounded in the broad market.</x:v>
      </x:c>
      <x:c r="J632" s="17" t="str">
        <x:v>Tape reading; trade expectation; market context</x:v>
      </x:c>
      <x:c r="K632" s="17" t="str">
        <x:v>Explains a market foundation before moving to an index-chart demonstration.</x:v>
      </x:c>
      <x:c r="L632" s="17" t="str">
        <x:v>No numeric probability estimator supplied; clip references prior material.</x:v>
      </x:c>
      <x:c r="M632" s="17" t="str">
        <x:v>WHOLE TRANSCRIPT READ — visuals pending</x:v>
      </x:c>
      <x:c r="N632" s="15" t="n">
        <x:v>48</x:v>
      </x:c>
      <x:c r="O632" s="15" t="n">
        <x:v>317</x:v>
      </x:c>
      <x:c r="P632" s="15" t="n">
        <x:v>100</x:v>
      </x:c>
      <x:c r="Q632" s="13" t="str">
        <x:v>NO_LARGE_TAIL_GAP</x:v>
      </x:c>
      <x:c r="R632" s="13" t="str"/>
      <x:c r="S632" s="16" t="n">
        <x:v>2</x:v>
      </x:c>
      <x:c r="T632" s="13" t="str">
        <x:v>e73d5bde082f548ded604cf4c96e1ad67baa06acdc7d9bf8c1d04e4865c03b8a</x:v>
      </x:c>
    </x:row>
    <x:row r="633" ht="15" hidden="0" customHeight="1">
      <x:c r="A633" s="13" t="str">
        <x:v>uE804z2TWy0</x:v>
      </x:c>
      <x:c r="B633" s="13" t="str">
        <x:v>Day Trading Options |  LULU Stock Analysis</x:v>
      </x:c>
      <x:c r="C633" s="14" t="d">
        <x:v>2024-07-09T00:00:00.000Z</x:v>
      </x:c>
      <x:c r="D633" s="18" t="e">
        <x:f>HYPERLINK("https://www.youtube.com/watch?v=uE804z2TWy0","Watch video")</x:f>
        <x:v>HYPERLINK is not implemented. linkLocation=https://www.youtube.com/watch?v=uE804z2TWy0, friendlyName=Watch video</x:v>
      </x:c>
      <x:c r="E633" s="18" t="e">
        <x:f>HYPERLINK("transcripts/uE804z2TWy0.html","Complete transcript")</x:f>
        <x:v>HYPERLINK is not implemented. linkLocation=transcripts/uE804z2TWy0.html, friendlyName=Complete transcript</x:v>
      </x:c>
      <x:c r="F633" s="13" t="str">
        <x:v>UNKNOWN_REQUIRES_REVIEW</x:v>
      </x:c>
      <x:c r="G633" s="17" t="str">
        <x:v>UNREVIEWED</x:v>
      </x:c>
      <x:c r="H633" s="17" t="str"/>
      <x:c r="I633" s="17" t="str"/>
      <x:c r="J633" s="17" t="str"/>
      <x:c r="K633" s="17" t="str"/>
      <x:c r="L633" s="17" t="str"/>
      <x:c r="M633" s="17" t="str">
        <x:v>PENDING WHOLE-VIDEO REVIEW</x:v>
      </x:c>
      <x:c r="N633" s="15" t="n">
        <x:v>213</x:v>
      </x:c>
      <x:c r="O633" s="15" t="n">
        <x:v>1625</x:v>
      </x:c>
      <x:c r="P633" s="15" t="n">
        <x:v>483</x:v>
      </x:c>
      <x:c r="Q633" s="13" t="str">
        <x:v>NO_LARGE_TAIL_GAP</x:v>
      </x:c>
      <x:c r="R633" s="13" t="str"/>
      <x:c r="S633" s="16" t="n">
        <x:v>0</x:v>
      </x:c>
      <x:c r="T633" s="13" t="str">
        <x:v>6b1040bf0fd6482c022fb111f3dc4b553eb32a72ef3b2ce56c67178a183400aa</x:v>
      </x:c>
    </x:row>
    <x:row r="634" ht="15" hidden="0" customHeight="1">
      <x:c r="A634" s="13" t="str">
        <x:v>uN4XXybi-4M</x:v>
      </x:c>
      <x:c r="B634" s="13" t="str">
        <x:v>How to Trade Options: 3 Things to Know</x:v>
      </x:c>
      <x:c r="C634" s="14" t="d">
        <x:v>2024-07-11T00:00:00.000Z</x:v>
      </x:c>
      <x:c r="D634" s="18" t="e">
        <x:f>HYPERLINK("https://www.youtube.com/watch?v=uN4XXybi-4M","Watch video")</x:f>
        <x:v>HYPERLINK is not implemented. linkLocation=https://www.youtube.com/watch?v=uN4XXybi-4M, friendlyName=Watch video</x:v>
      </x:c>
      <x:c r="E634" s="18" t="e">
        <x:f>HYPERLINK("transcripts/uN4XXybi-4M.html","Complete transcript")</x:f>
        <x:v>HYPERLINK is not implemented. linkLocation=transcripts/uN4XXybi-4M.html, friendlyName=Complete transcript</x:v>
      </x:c>
      <x:c r="F634" s="13" t="str">
        <x:v>NON_PETE_EXPLICIT_JOHN</x:v>
      </x:c>
      <x:c r="G634" s="17" t="str">
        <x:v>UNREVIEWED</x:v>
      </x:c>
      <x:c r="H634" s="17" t="str"/>
      <x:c r="I634" s="17" t="str"/>
      <x:c r="J634" s="17" t="str"/>
      <x:c r="K634" s="17" t="str"/>
      <x:c r="L634" s="17" t="str"/>
      <x:c r="M634" s="17" t="str">
        <x:v>PENDING WHOLE-VIDEO REVIEW</x:v>
      </x:c>
      <x:c r="N634" s="15" t="n">
        <x:v>219</x:v>
      </x:c>
      <x:c r="O634" s="15" t="n">
        <x:v>1614</x:v>
      </x:c>
      <x:c r="P634" s="15" t="n">
        <x:v>477</x:v>
      </x:c>
      <x:c r="Q634" s="13" t="str">
        <x:v>NO_LARGE_TAIL_GAP</x:v>
      </x:c>
      <x:c r="R634" s="13" t="str"/>
      <x:c r="S634" s="16" t="n">
        <x:v>0</x:v>
      </x:c>
      <x:c r="T634" s="13" t="str">
        <x:v>c19d73fc5274a53a417ce9f823f5e5c1185321c3137ed20b9ac4c30426f9c389</x:v>
      </x:c>
    </x:row>
    <x:row r="635" ht="15" hidden="0" customHeight="1">
      <x:c r="A635" s="13" t="str">
        <x:v>ueL3SjFLZLk</x:v>
      </x:c>
      <x:c r="B635" s="13" t="str">
        <x:v>Swing Trading MCD Earnings | Best Stock Picks Today 11-9-20</x:v>
      </x:c>
      <x:c r="C635" s="14" t="d">
        <x:v>2020-11-09T00:00:00.000Z</x:v>
      </x:c>
      <x:c r="D635" s="18" t="e">
        <x:f>HYPERLINK("https://www.youtube.com/watch?v=ueL3SjFLZLk","Watch video")</x:f>
        <x:v>HYPERLINK is not implemented. linkLocation=https://www.youtube.com/watch?v=ueL3SjFLZLk, friendlyName=Watch video</x:v>
      </x:c>
      <x:c r="E635" s="18" t="e">
        <x:f>HYPERLINK("transcripts/ueL3SjFLZLk.html","Complete transcript")</x:f>
        <x:v>HYPERLINK is not implemented. linkLocation=transcripts/ueL3SjFLZLk.html, friendlyName=Complete transcript</x:v>
      </x:c>
      <x:c r="F635" s="13" t="str">
        <x:v>PETE_EXPLICIT</x:v>
      </x:c>
      <x:c r="G635" s="17" t="str">
        <x:v>UNREVIEWED</x:v>
      </x:c>
      <x:c r="H635" s="17" t="str"/>
      <x:c r="I635" s="17" t="str"/>
      <x:c r="J635" s="17" t="str"/>
      <x:c r="K635" s="17" t="str"/>
      <x:c r="L635" s="17" t="str"/>
      <x:c r="M635" s="17" t="str">
        <x:v>PENDING WHOLE-VIDEO REVIEW</x:v>
      </x:c>
      <x:c r="N635" s="15" t="n">
        <x:v>383</x:v>
      </x:c>
      <x:c r="O635" s="15" t="n">
        <x:v>2351</x:v>
      </x:c>
      <x:c r="P635" s="15" t="n">
        <x:v>680</x:v>
      </x:c>
      <x:c r="Q635" s="13" t="str">
        <x:v>NO_LARGE_TAIL_GAP</x:v>
      </x:c>
      <x:c r="R635" s="13" t="str"/>
      <x:c r="S635" s="16" t="n">
        <x:v>0</x:v>
      </x:c>
      <x:c r="T635" s="13" t="str">
        <x:v>7024f800fa951c9d812b84ff861615e0aca054a7073e69cab44d1ebe8e9701da</x:v>
      </x:c>
    </x:row>
    <x:row r="636" ht="15" hidden="0" customHeight="1">
      <x:c r="A636" s="13" t="str">
        <x:v>ueXPyc-tGqo</x:v>
      </x:c>
      <x:c r="B636" s="13" t="str">
        <x:v>Why Smart Stock Traders Struggle | Stock Trading Education</x:v>
      </x:c>
      <x:c r="C636" s="14" t="d">
        <x:v>2020-08-19T00:00:00.000Z</x:v>
      </x:c>
      <x:c r="D636" s="18" t="e">
        <x:f>HYPERLINK("https://www.youtube.com/watch?v=ueXPyc-tGqo","Watch video")</x:f>
        <x:v>HYPERLINK is not implemented. linkLocation=https://www.youtube.com/watch?v=ueXPyc-tGqo, friendlyName=Watch video</x:v>
      </x:c>
      <x:c r="E636" s="18" t="e">
        <x:f>HYPERLINK("transcripts/ueXPyc-tGqo.html","Complete transcript")</x:f>
        <x:v>HYPERLINK is not implemented. linkLocation=transcripts/ueXPyc-tGqo.html, friendlyName=Complete transcript</x:v>
      </x:c>
      <x:c r="F636" s="13" t="str">
        <x:v>PETE_EXPLICIT</x:v>
      </x:c>
      <x:c r="G636" s="17" t="str">
        <x:v>UNREVIEWED</x:v>
      </x:c>
      <x:c r="H636" s="17" t="str"/>
      <x:c r="I636" s="17" t="str"/>
      <x:c r="J636" s="17" t="str"/>
      <x:c r="K636" s="17" t="str"/>
      <x:c r="L636" s="17" t="str"/>
      <x:c r="M636" s="17" t="str">
        <x:v>PENDING WHOLE-VIDEO REVIEW</x:v>
      </x:c>
      <x:c r="N636" s="15" t="n">
        <x:v>415</x:v>
      </x:c>
      <x:c r="O636" s="15" t="n">
        <x:v>2580</x:v>
      </x:c>
      <x:c r="P636" s="15" t="n">
        <x:v>739</x:v>
      </x:c>
      <x:c r="Q636" s="13" t="str">
        <x:v>NO_LARGE_TAIL_GAP</x:v>
      </x:c>
      <x:c r="R636" s="13" t="str"/>
      <x:c r="S636" s="16" t="n">
        <x:v>0</x:v>
      </x:c>
      <x:c r="T636" s="13" t="str">
        <x:v>7c8055b2e791fabcd893d65c6ff86d19eebbb617e4e340b491ba5a92170bcea8</x:v>
      </x:c>
    </x:row>
    <x:row r="637" ht="15" hidden="0" customHeight="1">
      <x:c r="A637" s="13" t="str">
        <x:v>uhmNQj793mU</x:v>
      </x:c>
      <x:c r="B637" s="13" t="str">
        <x:v>The Ultimate Guide to Identifying Short Squeeze Setups</x:v>
      </x:c>
      <x:c r="C637" s="14" t="d">
        <x:v>2022-04-19T00:00:00.000Z</x:v>
      </x:c>
      <x:c r="D637" s="18" t="e">
        <x:f>HYPERLINK("https://www.youtube.com/watch?v=uhmNQj793mU","Watch video")</x:f>
        <x:v>HYPERLINK is not implemented. linkLocation=https://www.youtube.com/watch?v=uhmNQj793mU, friendlyName=Watch video</x:v>
      </x:c>
      <x:c r="E637" s="18" t="e">
        <x:f>HYPERLINK("transcripts/uhmNQj793mU.html","Complete transcript")</x:f>
        <x:v>HYPERLINK is not implemented. linkLocation=transcripts/uhmNQj793mU.html, friendlyName=Complete transcript</x:v>
      </x:c>
      <x:c r="F637" s="13" t="str">
        <x:v>UNKNOWN_REQUIRES_REVIEW</x:v>
      </x:c>
      <x:c r="G637" s="17" t="str">
        <x:v>UNREVIEWED</x:v>
      </x:c>
      <x:c r="H637" s="17" t="str"/>
      <x:c r="I637" s="17" t="str"/>
      <x:c r="J637" s="17" t="str"/>
      <x:c r="K637" s="17" t="str"/>
      <x:c r="L637" s="17" t="str"/>
      <x:c r="M637" s="17" t="str">
        <x:v>PENDING WHOLE-VIDEO REVIEW</x:v>
      </x:c>
      <x:c r="N637" s="15" t="n">
        <x:v>309</x:v>
      </x:c>
      <x:c r="O637" s="15" t="n">
        <x:v>1903</x:v>
      </x:c>
      <x:c r="P637" s="15" t="n">
        <x:v>622</x:v>
      </x:c>
      <x:c r="Q637" s="13" t="str">
        <x:v>NO_LARGE_TAIL_GAP</x:v>
      </x:c>
      <x:c r="R637" s="13" t="str"/>
      <x:c r="S637" s="16" t="n">
        <x:v>0</x:v>
      </x:c>
      <x:c r="T637" s="13" t="str">
        <x:v>022ec619569273290db4757a9dfceb9ad9b18700df2a46a03c04264b1014fcf2</x:v>
      </x:c>
    </x:row>
    <x:row r="638" ht="15" hidden="0" customHeight="1">
      <x:c r="A638" s="13" t="str">
        <x:v>ujcTvBfCFZA</x:v>
      </x:c>
      <x:c r="B638" s="13" t="str">
        <x:v>Institutional Money Flow: The Cycle Most Traders Miss</x:v>
      </x:c>
      <x:c r="C638" s="14" t="d">
        <x:v>2026-05-27T00:00:00.000Z</x:v>
      </x:c>
      <x:c r="D638" s="18" t="e">
        <x:f>HYPERLINK("https://www.youtube.com/watch?v=ujcTvBfCFZA","Watch video")</x:f>
        <x:v>HYPERLINK is not implemented. linkLocation=https://www.youtube.com/watch?v=ujcTvBfCFZA, friendlyName=Watch video</x:v>
      </x:c>
      <x:c r="E638" s="18" t="e">
        <x:f>HYPERLINK("transcripts/ujcTvBfCFZA.html","Complete transcript")</x:f>
        <x:v>HYPERLINK is not implemented. linkLocation=transcripts/ujcTvBfCFZA.html, friendlyName=Complete transcript</x:v>
      </x:c>
      <x:c r="F638" s="13" t="str">
        <x:v>UNKNOWN_REQUIRES_REVIEW</x:v>
      </x:c>
      <x:c r="G638" s="17" t="str">
        <x:v>UNREVIEWED</x:v>
      </x:c>
      <x:c r="H638" s="17" t="str"/>
      <x:c r="I638" s="17" t="str"/>
      <x:c r="J638" s="17" t="str"/>
      <x:c r="K638" s="17" t="str"/>
      <x:c r="L638" s="17" t="str"/>
      <x:c r="M638" s="17" t="str">
        <x:v>PENDING WHOLE-VIDEO REVIEW</x:v>
      </x:c>
      <x:c r="N638" s="15" t="n">
        <x:v>247</x:v>
      </x:c>
      <x:c r="O638" s="15" t="n">
        <x:v>1411</x:v>
      </x:c>
      <x:c r="P638" s="15" t="n">
        <x:v>511</x:v>
      </x:c>
      <x:c r="Q638" s="13" t="str">
        <x:v>NO_LARGE_TAIL_GAP</x:v>
      </x:c>
      <x:c r="R638" s="13" t="str"/>
      <x:c r="S638" s="16" t="n">
        <x:v>0</x:v>
      </x:c>
      <x:c r="T638" s="13" t="str">
        <x:v>36afd9d8e98fb1651461bba5a707f2315cedb23f043912d08338d1d189aabe95</x:v>
      </x:c>
    </x:row>
    <x:row r="639" ht="24" hidden="0" customHeight="1">
      <x:c r="A639" s="13" t="str">
        <x:v>umcnZmtjdU4</x:v>
      </x:c>
      <x:c r="B639" s="13" t="str">
        <x:v>Stocks For Breakfast 2 25 20 | 3 Day Trading Methods for Stocks | Protecting Stock Market Profits</x:v>
      </x:c>
      <x:c r="C639" s="14" t="d">
        <x:v>2020-02-25T00:00:00.000Z</x:v>
      </x:c>
      <x:c r="D639" s="18" t="e">
        <x:f>HYPERLINK("https://www.youtube.com/watch?v=umcnZmtjdU4","Watch video")</x:f>
        <x:v>HYPERLINK is not implemented. linkLocation=https://www.youtube.com/watch?v=umcnZmtjdU4, friendlyName=Watch video</x:v>
      </x:c>
      <x:c r="E639" s="18" t="e">
        <x:f>HYPERLINK("transcripts/umcnZmtjdU4.html","Complete transcript")</x:f>
        <x:v>HYPERLINK is not implemented. linkLocation=transcripts/umcnZmtjdU4.html, friendlyName=Complete transcript</x:v>
      </x:c>
      <x:c r="F639" s="13" t="str">
        <x:v>PETE_EXPLICIT</x:v>
      </x:c>
      <x:c r="G639" s="17" t="str">
        <x:v>UNREVIEWED</x:v>
      </x:c>
      <x:c r="H639" s="17" t="str"/>
      <x:c r="I639" s="17" t="str"/>
      <x:c r="J639" s="17" t="str"/>
      <x:c r="K639" s="17" t="str"/>
      <x:c r="L639" s="17" t="str"/>
      <x:c r="M639" s="17" t="str">
        <x:v>PENDING WHOLE-VIDEO REVIEW</x:v>
      </x:c>
      <x:c r="N639" s="15" t="n">
        <x:v>509</x:v>
      </x:c>
      <x:c r="O639" s="15" t="n">
        <x:v>3686</x:v>
      </x:c>
      <x:c r="P639" s="15" t="n">
        <x:v>1107</x:v>
      </x:c>
      <x:c r="Q639" s="13" t="str">
        <x:v>NO_LARGE_TAIL_GAP</x:v>
      </x:c>
      <x:c r="R639" s="13" t="str"/>
      <x:c r="S639" s="16" t="n">
        <x:v>0</x:v>
      </x:c>
      <x:c r="T639" s="13" t="str">
        <x:v>e5d1b1f71b17e875c676eb9f2c332e4cf003e6080d0c7404a28c0fdf0b818a18</x:v>
      </x:c>
    </x:row>
    <x:row r="640" ht="15" hidden="0" customHeight="1">
      <x:c r="A640" s="13" t="str">
        <x:v>unsEHXH2Fpk</x:v>
      </x:c>
      <x:c r="B640" s="13" t="str">
        <x:v>Short Selling Stocks Explained</x:v>
      </x:c>
      <x:c r="C640" s="14" t="d">
        <x:v>2020-09-17T00:00:00.000Z</x:v>
      </x:c>
      <x:c r="D640" s="18" t="e">
        <x:f>HYPERLINK("https://www.youtube.com/watch?v=unsEHXH2Fpk","Watch video")</x:f>
        <x:v>HYPERLINK is not implemented. linkLocation=https://www.youtube.com/watch?v=unsEHXH2Fpk, friendlyName=Watch video</x:v>
      </x:c>
      <x:c r="E640" s="18" t="e">
        <x:f>HYPERLINK("transcripts/unsEHXH2Fpk.html","Complete transcript")</x:f>
        <x:v>HYPERLINK is not implemented. linkLocation=transcripts/unsEHXH2Fpk.html, friendlyName=Complete transcript</x:v>
      </x:c>
      <x:c r="F640" s="13" t="str">
        <x:v>UNKNOWN_REQUIRES_REVIEW</x:v>
      </x:c>
      <x:c r="G640" s="17" t="str">
        <x:v>UNREVIEWED</x:v>
      </x:c>
      <x:c r="H640" s="17" t="str"/>
      <x:c r="I640" s="17" t="str"/>
      <x:c r="J640" s="17" t="str"/>
      <x:c r="K640" s="17" t="str"/>
      <x:c r="L640" s="17" t="str"/>
      <x:c r="M640" s="17" t="str">
        <x:v>PENDING WHOLE-VIDEO REVIEW</x:v>
      </x:c>
      <x:c r="N640" s="15" t="n">
        <x:v>464</x:v>
      </x:c>
      <x:c r="O640" s="15" t="n">
        <x:v>2864</x:v>
      </x:c>
      <x:c r="P640" s="15" t="n">
        <x:v>818</x:v>
      </x:c>
      <x:c r="Q640" s="13" t="str">
        <x:v>NO_LARGE_TAIL_GAP</x:v>
      </x:c>
      <x:c r="R640" s="13" t="str"/>
      <x:c r="S640" s="16" t="n">
        <x:v>0</x:v>
      </x:c>
      <x:c r="T640" s="13" t="str">
        <x:v>b1ccb7379605681b70d9e731417a301a05a7215b34c4266b3353727a12565434</x:v>
      </x:c>
    </x:row>
    <x:row r="641" ht="15" hidden="0" customHeight="1">
      <x:c r="A641" s="13" t="str">
        <x:v>uqzuO5emN4g</x:v>
      </x:c>
      <x:c r="B641" s="13" t="str">
        <x:v>stock trading recap september 21 2015</x:v>
      </x:c>
      <x:c r="C641" s="14" t="d">
        <x:v>2015-09-21T00:00:00.000Z</x:v>
      </x:c>
      <x:c r="D641" s="18" t="e">
        <x:f>HYPERLINK("https://www.youtube.com/watch?v=uqzuO5emN4g","Watch video")</x:f>
        <x:v>HYPERLINK is not implemented. linkLocation=https://www.youtube.com/watch?v=uqzuO5emN4g, friendlyName=Watch video</x:v>
      </x:c>
      <x:c r="E641" s="18" t="e">
        <x:f>HYPERLINK("transcripts/uqzuO5emN4g.html","Complete transcript")</x:f>
        <x:v>HYPERLINK is not implemented. linkLocation=transcripts/uqzuO5emN4g.html, friendlyName=Complete transcript</x:v>
      </x:c>
      <x:c r="F641" s="13" t="str">
        <x:v>UNKNOWN_REQUIRES_REVIEW</x:v>
      </x:c>
      <x:c r="G641" s="17" t="str">
        <x:v>UNREVIEWED</x:v>
      </x:c>
      <x:c r="H641" s="17" t="str"/>
      <x:c r="I641" s="17" t="str"/>
      <x:c r="J641" s="17" t="str"/>
      <x:c r="K641" s="17" t="str"/>
      <x:c r="L641" s="17" t="str"/>
      <x:c r="M641" s="17" t="str">
        <x:v>PENDING WHOLE-VIDEO REVIEW</x:v>
      </x:c>
      <x:c r="N641" s="15" t="n">
        <x:v>795</x:v>
      </x:c>
      <x:c r="O641" s="15" t="n">
        <x:v>5808</x:v>
      </x:c>
      <x:c r="P641" s="15" t="n">
        <x:v>1679</x:v>
      </x:c>
      <x:c r="Q641" s="13" t="str">
        <x:v>NO_LARGE_TAIL_GAP</x:v>
      </x:c>
      <x:c r="R641" s="13" t="str"/>
      <x:c r="S641" s="16" t="n">
        <x:v>0</x:v>
      </x:c>
      <x:c r="T641" s="13" t="str">
        <x:v>465411eca64a3e909eed6136be3e5345d745aaa5cc7abe9f2196d93f2d6c6d2d</x:v>
      </x:c>
    </x:row>
    <x:row r="642" ht="15" hidden="0" customHeight="1">
      <x:c r="A642" s="13" t="str">
        <x:v>uuQBENuCnUU</x:v>
      </x:c>
      <x:c r="B642" s="13" t="str">
        <x:v>Stock Trading Recap 9 9 15</x:v>
      </x:c>
      <x:c r="C642" s="14" t="d">
        <x:v>2015-09-09T00:00:00.000Z</x:v>
      </x:c>
      <x:c r="D642" s="18" t="e">
        <x:f>HYPERLINK("https://www.youtube.com/watch?v=uuQBENuCnUU","Watch video")</x:f>
        <x:v>HYPERLINK is not implemented. linkLocation=https://www.youtube.com/watch?v=uuQBENuCnUU, friendlyName=Watch video</x:v>
      </x:c>
      <x:c r="E642" s="18" t="e">
        <x:f>HYPERLINK("transcripts/uuQBENuCnUU.html","Complete transcript")</x:f>
        <x:v>HYPERLINK is not implemented. linkLocation=transcripts/uuQBENuCnUU.html, friendlyName=Complete transcript</x:v>
      </x:c>
      <x:c r="F642" s="13" t="str">
        <x:v>UNKNOWN_REQUIRES_REVIEW</x:v>
      </x:c>
      <x:c r="G642" s="17" t="str">
        <x:v>UNREVIEWED</x:v>
      </x:c>
      <x:c r="H642" s="17" t="str"/>
      <x:c r="I642" s="17" t="str"/>
      <x:c r="J642" s="17" t="str"/>
      <x:c r="K642" s="17" t="str"/>
      <x:c r="L642" s="17" t="str"/>
      <x:c r="M642" s="17" t="str">
        <x:v>PENDING WHOLE-VIDEO REVIEW</x:v>
      </x:c>
      <x:c r="N642" s="15" t="n">
        <x:v>802</x:v>
      </x:c>
      <x:c r="O642" s="15" t="n">
        <x:v>5899</x:v>
      </x:c>
      <x:c r="P642" s="15" t="n">
        <x:v>1634</x:v>
      </x:c>
      <x:c r="Q642" s="13" t="str">
        <x:v>NO_LARGE_TAIL_GAP</x:v>
      </x:c>
      <x:c r="R642" s="13" t="str"/>
      <x:c r="S642" s="16" t="n">
        <x:v>0</x:v>
      </x:c>
      <x:c r="T642" s="13" t="str">
        <x:v>bc772d7aa28dc56d73ccf8bf9f01d699c588c251aeba3d8783ea179d8335dc44</x:v>
      </x:c>
    </x:row>
    <x:row r="643" ht="15" hidden="0" customHeight="1">
      <x:c r="A643" s="13" t="str">
        <x:v>v0PkVeHcpZs</x:v>
      </x:c>
      <x:c r="B643" s="13" t="str">
        <x:v>Options Trading Basics: Trade Setup</x:v>
      </x:c>
      <x:c r="C643" s="14" t="d">
        <x:v>2024-07-10T00:00:00.000Z</x:v>
      </x:c>
      <x:c r="D643" s="18" t="e">
        <x:f>HYPERLINK("https://www.youtube.com/watch?v=v0PkVeHcpZs","Watch video")</x:f>
        <x:v>HYPERLINK is not implemented. linkLocation=https://www.youtube.com/watch?v=v0PkVeHcpZs, friendlyName=Watch video</x:v>
      </x:c>
      <x:c r="E643" s="18" t="e">
        <x:f>HYPERLINK("transcripts/v0PkVeHcpZs.html","Complete transcript")</x:f>
        <x:v>HYPERLINK is not implemented. linkLocation=transcripts/v0PkVeHcpZs.html, friendlyName=Complete transcript</x:v>
      </x:c>
      <x:c r="F643" s="13" t="str">
        <x:v>UNKNOWN_REQUIRES_REVIEW</x:v>
      </x:c>
      <x:c r="G643" s="17" t="str">
        <x:v>UNREVIEWED</x:v>
      </x:c>
      <x:c r="H643" s="17" t="str"/>
      <x:c r="I643" s="17" t="str"/>
      <x:c r="J643" s="17" t="str"/>
      <x:c r="K643" s="17" t="str"/>
      <x:c r="L643" s="17" t="str"/>
      <x:c r="M643" s="17" t="str">
        <x:v>PENDING WHOLE-VIDEO REVIEW</x:v>
      </x:c>
      <x:c r="N643" s="15" t="n">
        <x:v>245</x:v>
      </x:c>
      <x:c r="O643" s="15" t="n">
        <x:v>1862</x:v>
      </x:c>
      <x:c r="P643" s="15" t="n">
        <x:v>552</x:v>
      </x:c>
      <x:c r="Q643" s="13" t="str">
        <x:v>NO_LARGE_TAIL_GAP</x:v>
      </x:c>
      <x:c r="R643" s="13" t="str"/>
      <x:c r="S643" s="16" t="n">
        <x:v>0</x:v>
      </x:c>
      <x:c r="T643" s="13" t="str">
        <x:v>6ba397ef8d69b04a389686ab1aad90db6c099e0067b8893bb5e9306d70a9cb7a</x:v>
      </x:c>
    </x:row>
    <x:row r="644" ht="15" hidden="0" customHeight="1">
      <x:c r="A644" s="13" t="str">
        <x:v>v2ZU2OJDKYE</x:v>
      </x:c>
      <x:c r="B644" s="13" t="str">
        <x:v>NIO Stock 7-6-20 | Best Stock Picks Today</x:v>
      </x:c>
      <x:c r="C644" s="14" t="d">
        <x:v>2020-07-06T00:00:00.000Z</x:v>
      </x:c>
      <x:c r="D644" s="18" t="e">
        <x:f>HYPERLINK("https://www.youtube.com/watch?v=v2ZU2OJDKYE","Watch video")</x:f>
        <x:v>HYPERLINK is not implemented. linkLocation=https://www.youtube.com/watch?v=v2ZU2OJDKYE, friendlyName=Watch video</x:v>
      </x:c>
      <x:c r="E644" s="18" t="e">
        <x:f>HYPERLINK("transcripts/v2ZU2OJDKYE.html","Complete transcript")</x:f>
        <x:v>HYPERLINK is not implemented. linkLocation=transcripts/v2ZU2OJDKYE.html, friendlyName=Complete transcript</x:v>
      </x:c>
      <x:c r="F644" s="13" t="str">
        <x:v>UNKNOWN_REQUIRES_REVIEW</x:v>
      </x:c>
      <x:c r="G644" s="17" t="str">
        <x:v>UNREVIEWED</x:v>
      </x:c>
      <x:c r="H644" s="17" t="str"/>
      <x:c r="I644" s="17" t="str"/>
      <x:c r="J644" s="17" t="str"/>
      <x:c r="K644" s="17" t="str"/>
      <x:c r="L644" s="17" t="str"/>
      <x:c r="M644" s="17" t="str">
        <x:v>PENDING WHOLE-VIDEO REVIEW</x:v>
      </x:c>
      <x:c r="N644" s="15" t="n">
        <x:v>430</x:v>
      </x:c>
      <x:c r="O644" s="15" t="n">
        <x:v>3168</x:v>
      </x:c>
      <x:c r="P644" s="15" t="n">
        <x:v>890</x:v>
      </x:c>
      <x:c r="Q644" s="13" t="str">
        <x:v>NO_LARGE_TAIL_GAP</x:v>
      </x:c>
      <x:c r="R644" s="13" t="str"/>
      <x:c r="S644" s="16" t="n">
        <x:v>0</x:v>
      </x:c>
      <x:c r="T644" s="13" t="str">
        <x:v>e265198e65125149885dad1c004de0232c89fb4fc74096b8402b15fa5b3dd725</x:v>
      </x:c>
    </x:row>
    <x:row r="645" ht="15" hidden="0" customHeight="1">
      <x:c r="A645" s="13" t="str">
        <x:v>v6Y3yd4UQTU</x:v>
      </x:c>
      <x:c r="B645" s="13" t="str">
        <x:v>The VIX Bull Call Spread Trade Setup</x:v>
      </x:c>
      <x:c r="C645" s="14" t="d">
        <x:v>2026-03-20T00:00:00.000Z</x:v>
      </x:c>
      <x:c r="D645" s="18" t="e">
        <x:f>HYPERLINK("https://www.youtube.com/watch?v=v6Y3yd4UQTU","Watch video")</x:f>
        <x:v>HYPERLINK is not implemented. linkLocation=https://www.youtube.com/watch?v=v6Y3yd4UQTU, friendlyName=Watch video</x:v>
      </x:c>
      <x:c r="E645" s="18" t="e">
        <x:f>HYPERLINK("transcripts/v6Y3yd4UQTU.html","Complete transcript")</x:f>
        <x:v>HYPERLINK is not implemented. linkLocation=transcripts/v6Y3yd4UQTU.html, friendlyName=Complete transcript</x:v>
      </x:c>
      <x:c r="F645" s="13" t="str">
        <x:v>UNKNOWN_REQUIRES_REVIEW</x:v>
      </x:c>
      <x:c r="G645" s="17" t="str">
        <x:v>UNREVIEWED</x:v>
      </x:c>
      <x:c r="H645" s="17" t="str"/>
      <x:c r="I645" s="17" t="str"/>
      <x:c r="J645" s="17" t="str"/>
      <x:c r="K645" s="17" t="str"/>
      <x:c r="L645" s="17" t="str"/>
      <x:c r="M645" s="17" t="str">
        <x:v>PENDING WHOLE-VIDEO REVIEW</x:v>
      </x:c>
      <x:c r="N645" s="15" t="n">
        <x:v>305</x:v>
      </x:c>
      <x:c r="O645" s="15" t="n">
        <x:v>2031</x:v>
      </x:c>
      <x:c r="P645" s="15" t="n">
        <x:v>665</x:v>
      </x:c>
      <x:c r="Q645" s="13" t="str">
        <x:v>NO_LARGE_TAIL_GAP</x:v>
      </x:c>
      <x:c r="R645" s="13" t="str"/>
      <x:c r="S645" s="16" t="n">
        <x:v>0</x:v>
      </x:c>
      <x:c r="T645" s="13" t="str">
        <x:v>b5df14c518b7466cfdeb4e39a13024bacc9651124b8461d1cdf06ba76220b1c4</x:v>
      </x:c>
    </x:row>
    <x:row r="646" ht="15" hidden="0" customHeight="1">
      <x:c r="A646" s="13" t="str">
        <x:v>v7sc5SLtqEw</x:v>
      </x:c>
      <x:c r="B646" s="13" t="str">
        <x:v>Only The Best Swing Traders Understand This</x:v>
      </x:c>
      <x:c r="C646" s="14" t="d">
        <x:v>2026-05-22T00:00:00.000Z</x:v>
      </x:c>
      <x:c r="D646" s="18" t="e">
        <x:f>HYPERLINK("https://www.youtube.com/watch?v=v7sc5SLtqEw","Watch video")</x:f>
        <x:v>HYPERLINK is not implemented. linkLocation=https://www.youtube.com/watch?v=v7sc5SLtqEw, friendlyName=Watch video</x:v>
      </x:c>
      <x:c r="E646" s="18" t="e">
        <x:f>HYPERLINK("transcripts/v7sc5SLtqEw.html","Complete transcript")</x:f>
        <x:v>HYPERLINK is not implemented. linkLocation=transcripts/v7sc5SLtqEw.html, friendlyName=Complete transcript</x:v>
      </x:c>
      <x:c r="F646" s="13" t="str">
        <x:v>UNKNOWN_REQUIRES_REVIEW</x:v>
      </x:c>
      <x:c r="G646" s="17" t="str">
        <x:v>UNREVIEWED</x:v>
      </x:c>
      <x:c r="H646" s="17" t="str"/>
      <x:c r="I646" s="17" t="str"/>
      <x:c r="J646" s="17" t="str"/>
      <x:c r="K646" s="17" t="str"/>
      <x:c r="L646" s="17" t="str"/>
      <x:c r="M646" s="17" t="str">
        <x:v>PENDING WHOLE-VIDEO REVIEW</x:v>
      </x:c>
      <x:c r="N646" s="15" t="n">
        <x:v>1750</x:v>
      </x:c>
      <x:c r="O646" s="15" t="n">
        <x:v>12162</x:v>
      </x:c>
      <x:c r="P646" s="15" t="n">
        <x:v>3585</x:v>
      </x:c>
      <x:c r="Q646" s="13" t="str">
        <x:v>NO_LARGE_TAIL_GAP</x:v>
      </x:c>
      <x:c r="R646" s="13" t="str"/>
      <x:c r="S646" s="16" t="n">
        <x:v>0</x:v>
      </x:c>
      <x:c r="T646" s="13" t="str">
        <x:v>35c85441dd628c833c371ab1127d9d6ee9c4a0cfbf528214a923caba9e57c825</x:v>
      </x:c>
    </x:row>
    <x:row r="647" ht="15" hidden="0" customHeight="1">
      <x:c r="A647" s="13" t="str">
        <x:v>v8aawP9l7gQ</x:v>
      </x:c>
      <x:c r="B647" s="13" t="str">
        <x:v>Technical Analysis: How to Draw Trend Lines</x:v>
      </x:c>
      <x:c r="C647" s="14" t="d">
        <x:v>2015-03-06T00:00:00.000Z</x:v>
      </x:c>
      <x:c r="D647" s="18" t="e">
        <x:f>HYPERLINK("https://www.youtube.com/watch?v=v8aawP9l7gQ","Watch video")</x:f>
        <x:v>HYPERLINK is not implemented. linkLocation=https://www.youtube.com/watch?v=v8aawP9l7gQ, friendlyName=Watch video</x:v>
      </x:c>
      <x:c r="E647" s="18" t="e">
        <x:f>HYPERLINK("transcripts/v8aawP9l7gQ.html","Complete transcript")</x:f>
        <x:v>HYPERLINK is not implemented. linkLocation=transcripts/v8aawP9l7gQ.html, friendlyName=Complete transcript</x:v>
      </x:c>
      <x:c r="F647" s="13" t="str">
        <x:v>UNKNOWN_REQUIRES_REVIEW</x:v>
      </x:c>
      <x:c r="G647" s="17" t="str">
        <x:v>UNREVIEWED</x:v>
      </x:c>
      <x:c r="H647" s="17" t="str"/>
      <x:c r="I647" s="17" t="str"/>
      <x:c r="J647" s="17" t="str"/>
      <x:c r="K647" s="17" t="str"/>
      <x:c r="L647" s="17" t="str"/>
      <x:c r="M647" s="17" t="str">
        <x:v>PENDING WHOLE-VIDEO REVIEW</x:v>
      </x:c>
      <x:c r="N647" s="15" t="n">
        <x:v>147</x:v>
      </x:c>
      <x:c r="O647" s="15" t="n">
        <x:v>1033</x:v>
      </x:c>
      <x:c r="P647" s="15" t="n">
        <x:v>333</x:v>
      </x:c>
      <x:c r="Q647" s="13" t="str">
        <x:v>NO_LARGE_TAIL_GAP</x:v>
      </x:c>
      <x:c r="R647" s="13" t="str"/>
      <x:c r="S647" s="16" t="n">
        <x:v>0</x:v>
      </x:c>
      <x:c r="T647" s="13" t="str">
        <x:v>56233c2b3cf7cc2c68f62f88fcbf7d396aedbf705d1cc8f39a91f7d1246e8ec9</x:v>
      </x:c>
    </x:row>
    <x:row r="648" ht="15" hidden="0" customHeight="1">
      <x:c r="A648" s="13" t="str">
        <x:v>vJPGZRuwGxo</x:v>
      </x:c>
      <x:c r="B648" s="13" t="str">
        <x:v>Bullish NIO Trade | Best Stock Picks Today 11-2-20</x:v>
      </x:c>
      <x:c r="C648" s="14" t="d">
        <x:v>2020-11-02T00:00:00.000Z</x:v>
      </x:c>
      <x:c r="D648" s="18" t="e">
        <x:f>HYPERLINK("https://www.youtube.com/watch?v=vJPGZRuwGxo","Watch video")</x:f>
        <x:v>HYPERLINK is not implemented. linkLocation=https://www.youtube.com/watch?v=vJPGZRuwGxo, friendlyName=Watch video</x:v>
      </x:c>
      <x:c r="E648" s="18" t="e">
        <x:f>HYPERLINK("transcripts/vJPGZRuwGxo.html","Complete transcript")</x:f>
        <x:v>HYPERLINK is not implemented. linkLocation=transcripts/vJPGZRuwGxo.html, friendlyName=Complete transcript</x:v>
      </x:c>
      <x:c r="F648" s="13" t="str">
        <x:v>PETE_EXPLICIT</x:v>
      </x:c>
      <x:c r="G648" s="17" t="str">
        <x:v>UNREVIEWED</x:v>
      </x:c>
      <x:c r="H648" s="17" t="str"/>
      <x:c r="I648" s="17" t="str"/>
      <x:c r="J648" s="17" t="str"/>
      <x:c r="K648" s="17" t="str"/>
      <x:c r="L648" s="17" t="str"/>
      <x:c r="M648" s="17" t="str">
        <x:v>PENDING WHOLE-VIDEO REVIEW</x:v>
      </x:c>
      <x:c r="N648" s="15" t="n">
        <x:v>398</x:v>
      </x:c>
      <x:c r="O648" s="15" t="n">
        <x:v>2530</x:v>
      </x:c>
      <x:c r="P648" s="15" t="n">
        <x:v>686</x:v>
      </x:c>
      <x:c r="Q648" s="13" t="str">
        <x:v>NO_LARGE_TAIL_GAP</x:v>
      </x:c>
      <x:c r="R648" s="13" t="str"/>
      <x:c r="S648" s="16" t="n">
        <x:v>0</x:v>
      </x:c>
      <x:c r="T648" s="13" t="str">
        <x:v>30a3acbf7a3ef4bbcf3d825cef6b4817ae1de346ceb9a93609c671306bbe22b5</x:v>
      </x:c>
    </x:row>
    <x:row r="649" ht="15" hidden="0" customHeight="1">
      <x:c r="A649" s="13" t="str">
        <x:v>vVWtPSL0Cm4</x:v>
      </x:c>
      <x:c r="B649" s="13" t="str">
        <x:v>Buy the Rumor Sell the News? | Stock Market Prediction August 2021</x:v>
      </x:c>
      <x:c r="C649" s="14" t="d">
        <x:v>2021-08-29T00:00:00.000Z</x:v>
      </x:c>
      <x:c r="D649" s="18" t="e">
        <x:f>HYPERLINK("https://www.youtube.com/watch?v=vVWtPSL0Cm4","Watch video")</x:f>
        <x:v>HYPERLINK is not implemented. linkLocation=https://www.youtube.com/watch?v=vVWtPSL0Cm4, friendlyName=Watch video</x:v>
      </x:c>
      <x:c r="E649" s="18" t="e">
        <x:f>HYPERLINK("transcripts/vVWtPSL0Cm4.html","Complete transcript")</x:f>
        <x:v>HYPERLINK is not implemented. linkLocation=transcripts/vVWtPSL0Cm4.html, friendlyName=Complete transcript</x:v>
      </x:c>
      <x:c r="F649" s="13" t="str">
        <x:v>PETE_EXPLICIT</x:v>
      </x:c>
      <x:c r="G649" s="17" t="str">
        <x:v>UNREVIEWED</x:v>
      </x:c>
      <x:c r="H649" s="17" t="str"/>
      <x:c r="I649" s="17" t="str"/>
      <x:c r="J649" s="17" t="str"/>
      <x:c r="K649" s="17" t="str"/>
      <x:c r="L649" s="17" t="str"/>
      <x:c r="M649" s="17" t="str">
        <x:v>PENDING WHOLE-VIDEO REVIEW</x:v>
      </x:c>
      <x:c r="N649" s="15" t="n">
        <x:v>311</x:v>
      </x:c>
      <x:c r="O649" s="15" t="n">
        <x:v>1916</x:v>
      </x:c>
      <x:c r="P649" s="15" t="n">
        <x:v>609</x:v>
      </x:c>
      <x:c r="Q649" s="13" t="str">
        <x:v>NO_LARGE_TAIL_GAP</x:v>
      </x:c>
      <x:c r="R649" s="13" t="str"/>
      <x:c r="S649" s="16" t="n">
        <x:v>0</x:v>
      </x:c>
      <x:c r="T649" s="13" t="str">
        <x:v>30e65de0e77d2c3038bd3efa3385b440c3f3205e5e874a6132aff5502b3fe7bf</x:v>
      </x:c>
    </x:row>
    <x:row r="650" ht="15" hidden="0" customHeight="1">
      <x:c r="A650" s="13" t="str">
        <x:v>vVa1SzX6YQ0</x:v>
      </x:c>
      <x:c r="B650" s="13" t="str">
        <x:v>Best Stock Picks Today 4 7 20 | Trading Game Plan</x:v>
      </x:c>
      <x:c r="C650" s="14" t="d">
        <x:v>2020-04-06T00:00:00.000Z</x:v>
      </x:c>
      <x:c r="D650" s="18" t="e">
        <x:f>HYPERLINK("https://www.youtube.com/watch?v=vVa1SzX6YQ0","Watch video")</x:f>
        <x:v>HYPERLINK is not implemented. linkLocation=https://www.youtube.com/watch?v=vVa1SzX6YQ0, friendlyName=Watch video</x:v>
      </x:c>
      <x:c r="E650" s="18" t="e">
        <x:f>HYPERLINK("transcripts/vVa1SzX6YQ0.html","Complete transcript")</x:f>
        <x:v>HYPERLINK is not implemented. linkLocation=transcripts/vVa1SzX6YQ0.html, friendlyName=Complete transcript</x:v>
      </x:c>
      <x:c r="F650" s="13" t="str">
        <x:v>PETE_EXPLICIT</x:v>
      </x:c>
      <x:c r="G650" s="17" t="str">
        <x:v>UNREVIEWED</x:v>
      </x:c>
      <x:c r="H650" s="17" t="str"/>
      <x:c r="I650" s="17" t="str"/>
      <x:c r="J650" s="17" t="str"/>
      <x:c r="K650" s="17" t="str"/>
      <x:c r="L650" s="17" t="str"/>
      <x:c r="M650" s="17" t="str">
        <x:v>PENDING WHOLE-VIDEO REVIEW</x:v>
      </x:c>
      <x:c r="N650" s="15" t="n">
        <x:v>582</x:v>
      </x:c>
      <x:c r="O650" s="15" t="n">
        <x:v>4240</x:v>
      </x:c>
      <x:c r="P650" s="15" t="n">
        <x:v>1250</x:v>
      </x:c>
      <x:c r="Q650" s="13" t="str">
        <x:v>NO_LARGE_TAIL_GAP</x:v>
      </x:c>
      <x:c r="R650" s="13" t="str"/>
      <x:c r="S650" s="16" t="n">
        <x:v>0</x:v>
      </x:c>
      <x:c r="T650" s="13" t="str">
        <x:v>d33be5675e8e660aa00a08b6c1f6ace592297d8e33cb762e29f3ed6d374823e0</x:v>
      </x:c>
    </x:row>
    <x:row r="651" ht="15" hidden="0" customHeight="1">
      <x:c r="A651" s="13" t="str">
        <x:v>vbI4rDXuI6E</x:v>
      </x:c>
      <x:c r="B651" s="13" t="str">
        <x:v>Stocks for Breakfast | Day Trading the Bullish Echo</x:v>
      </x:c>
      <x:c r="C651" s="14" t="d">
        <x:v>2021-01-15T00:00:00.000Z</x:v>
      </x:c>
      <x:c r="D651" s="18" t="e">
        <x:f>HYPERLINK("https://www.youtube.com/watch?v=vbI4rDXuI6E","Watch video")</x:f>
        <x:v>HYPERLINK is not implemented. linkLocation=https://www.youtube.com/watch?v=vbI4rDXuI6E, friendlyName=Watch video</x:v>
      </x:c>
      <x:c r="E651" s="18" t="e">
        <x:f>HYPERLINK("transcripts/vbI4rDXuI6E.html","Complete transcript")</x:f>
        <x:v>HYPERLINK is not implemented. linkLocation=transcripts/vbI4rDXuI6E.html, friendlyName=Complete transcript</x:v>
      </x:c>
      <x:c r="F651" s="13" t="str">
        <x:v>PETE_EXPLICIT</x:v>
      </x:c>
      <x:c r="G651" s="17" t="str">
        <x:v>UNREVIEWED</x:v>
      </x:c>
      <x:c r="H651" s="17" t="str"/>
      <x:c r="I651" s="17" t="str"/>
      <x:c r="J651" s="17" t="str"/>
      <x:c r="K651" s="17" t="str"/>
      <x:c r="L651" s="17" t="str"/>
      <x:c r="M651" s="17" t="str">
        <x:v>PENDING WHOLE-VIDEO REVIEW</x:v>
      </x:c>
      <x:c r="N651" s="15" t="n">
        <x:v>300</x:v>
      </x:c>
      <x:c r="O651" s="15" t="n">
        <x:v>1871</x:v>
      </x:c>
      <x:c r="P651" s="15" t="n">
        <x:v>526</x:v>
      </x:c>
      <x:c r="Q651" s="13" t="str">
        <x:v>NO_LARGE_TAIL_GAP</x:v>
      </x:c>
      <x:c r="R651" s="13" t="str"/>
      <x:c r="S651" s="16" t="n">
        <x:v>0</x:v>
      </x:c>
      <x:c r="T651" s="13" t="str">
        <x:v>3b6c7312fbe1f2878ca7ae3a1c68eb971fa162ef9d9272656ec6af1cb54058e5</x:v>
      </x:c>
    </x:row>
    <x:row r="652" ht="15" hidden="0" customHeight="1">
      <x:c r="A652" s="13" t="str">
        <x:v>vfCxq3c2Gb4</x:v>
      </x:c>
      <x:c r="B652" s="13" t="str">
        <x:v>Master Hedging: A Pro Trader's Guide to Stress-Free, Consistent Returns</x:v>
      </x:c>
      <x:c r="C652" s="14" t="d">
        <x:v>2021-12-14T00:00:00.000Z</x:v>
      </x:c>
      <x:c r="D652" s="18" t="e">
        <x:f>HYPERLINK("https://www.youtube.com/watch?v=vfCxq3c2Gb4","Watch video")</x:f>
        <x:v>HYPERLINK is not implemented. linkLocation=https://www.youtube.com/watch?v=vfCxq3c2Gb4, friendlyName=Watch video</x:v>
      </x:c>
      <x:c r="E652" s="18" t="e">
        <x:f>HYPERLINK("transcripts/vfCxq3c2Gb4.html","Complete transcript")</x:f>
        <x:v>HYPERLINK is not implemented. linkLocation=transcripts/vfCxq3c2Gb4.html, friendlyName=Complete transcript</x:v>
      </x:c>
      <x:c r="F652" s="13" t="str">
        <x:v>PETE_EXPLICIT</x:v>
      </x:c>
      <x:c r="G652" s="17" t="str">
        <x:v>UNREVIEWED</x:v>
      </x:c>
      <x:c r="H652" s="17" t="str"/>
      <x:c r="I652" s="17" t="str"/>
      <x:c r="J652" s="17" t="str"/>
      <x:c r="K652" s="17" t="str"/>
      <x:c r="L652" s="17" t="str"/>
      <x:c r="M652" s="17" t="str">
        <x:v>PENDING WHOLE-VIDEO REVIEW</x:v>
      </x:c>
      <x:c r="N652" s="15" t="n">
        <x:v>246</x:v>
      </x:c>
      <x:c r="O652" s="15" t="n">
        <x:v>1488</x:v>
      </x:c>
      <x:c r="P652" s="15" t="n">
        <x:v>506</x:v>
      </x:c>
      <x:c r="Q652" s="13" t="str">
        <x:v>NO_LARGE_TAIL_GAP</x:v>
      </x:c>
      <x:c r="R652" s="13" t="str"/>
      <x:c r="S652" s="16" t="n">
        <x:v>0</x:v>
      </x:c>
      <x:c r="T652" s="13" t="str">
        <x:v>f0bc2538cbd77d557bd8c785f7430bc9f5d7d0453660806ac8ba623f2d5b296d</x:v>
      </x:c>
    </x:row>
    <x:row r="653" ht="15" hidden="0" customHeight="1">
      <x:c r="A653" s="13" t="str">
        <x:v>viIE3FcxkHk</x:v>
      </x:c>
      <x:c r="B653" s="13" t="str">
        <x:v>Best Stock Picks Today | PLTR Swing Trade 1-25-21</x:v>
      </x:c>
      <x:c r="C653" s="14" t="d">
        <x:v>2021-01-25T00:00:00.000Z</x:v>
      </x:c>
      <x:c r="D653" s="18" t="e">
        <x:f>HYPERLINK("https://www.youtube.com/watch?v=viIE3FcxkHk","Watch video")</x:f>
        <x:v>HYPERLINK is not implemented. linkLocation=https://www.youtube.com/watch?v=viIE3FcxkHk, friendlyName=Watch video</x:v>
      </x:c>
      <x:c r="E653" s="18" t="e">
        <x:f>HYPERLINK("transcripts/viIE3FcxkHk.html","Complete transcript")</x:f>
        <x:v>HYPERLINK is not implemented. linkLocation=transcripts/viIE3FcxkHk.html, friendlyName=Complete transcript</x:v>
      </x:c>
      <x:c r="F653" s="13" t="str">
        <x:v>PETE_EXPLICIT</x:v>
      </x:c>
      <x:c r="G653" s="17" t="str">
        <x:v>UNREVIEWED</x:v>
      </x:c>
      <x:c r="H653" s="17" t="str"/>
      <x:c r="I653" s="17" t="str"/>
      <x:c r="J653" s="17" t="str"/>
      <x:c r="K653" s="17" t="str"/>
      <x:c r="L653" s="17" t="str"/>
      <x:c r="M653" s="17" t="str">
        <x:v>PENDING WHOLE-VIDEO REVIEW</x:v>
      </x:c>
      <x:c r="N653" s="15" t="n">
        <x:v>395</x:v>
      </x:c>
      <x:c r="O653" s="15" t="n">
        <x:v>2438</x:v>
      </x:c>
      <x:c r="P653" s="15" t="n">
        <x:v>693</x:v>
      </x:c>
      <x:c r="Q653" s="13" t="str">
        <x:v>NO_LARGE_TAIL_GAP</x:v>
      </x:c>
      <x:c r="R653" s="13" t="str"/>
      <x:c r="S653" s="16" t="n">
        <x:v>0</x:v>
      </x:c>
      <x:c r="T653" s="13" t="str">
        <x:v>6b6785c6131ed7c5781158eeeb6dc049e47ac900e1e8a2067bf8ff0ee491bbf1</x:v>
      </x:c>
    </x:row>
    <x:row r="654" ht="15" hidden="0" customHeight="1">
      <x:c r="A654" s="13" t="str">
        <x:v>vt27fqB6pL0</x:v>
      </x:c>
      <x:c r="B654" s="13" t="str">
        <x:v>Draftkings DKNG Earnings 8-14-20 | Best Stock Picks Today</x:v>
      </x:c>
      <x:c r="C654" s="14" t="d">
        <x:v>2020-08-14T00:00:00.000Z</x:v>
      </x:c>
      <x:c r="D654" s="18" t="e">
        <x:f>HYPERLINK("https://www.youtube.com/watch?v=vt27fqB6pL0","Watch video")</x:f>
        <x:v>HYPERLINK is not implemented. linkLocation=https://www.youtube.com/watch?v=vt27fqB6pL0, friendlyName=Watch video</x:v>
      </x:c>
      <x:c r="E654" s="18" t="e">
        <x:f>HYPERLINK("transcripts/vt27fqB6pL0.html","Complete transcript")</x:f>
        <x:v>HYPERLINK is not implemented. linkLocation=transcripts/vt27fqB6pL0.html, friendlyName=Complete transcript</x:v>
      </x:c>
      <x:c r="F654" s="13" t="str">
        <x:v>PETE_EXPLICIT</x:v>
      </x:c>
      <x:c r="G654" s="17" t="str">
        <x:v>UNREVIEWED</x:v>
      </x:c>
      <x:c r="H654" s="17" t="str"/>
      <x:c r="I654" s="17" t="str"/>
      <x:c r="J654" s="17" t="str"/>
      <x:c r="K654" s="17" t="str"/>
      <x:c r="L654" s="17" t="str"/>
      <x:c r="M654" s="17" t="str">
        <x:v>PENDING WHOLE-VIDEO REVIEW</x:v>
      </x:c>
      <x:c r="N654" s="15" t="n">
        <x:v>252</x:v>
      </x:c>
      <x:c r="O654" s="15" t="n">
        <x:v>1566</x:v>
      </x:c>
      <x:c r="P654" s="15" t="n">
        <x:v>464</x:v>
      </x:c>
      <x:c r="Q654" s="13" t="str">
        <x:v>NO_LARGE_TAIL_GAP</x:v>
      </x:c>
      <x:c r="R654" s="13" t="str"/>
      <x:c r="S654" s="16" t="n">
        <x:v>0</x:v>
      </x:c>
      <x:c r="T654" s="13" t="str">
        <x:v>a81c7fedac2ac67b078d624756d92eadc958050a22b124d882dd75e0678a8a9d</x:v>
      </x:c>
    </x:row>
    <x:row r="655" ht="15" hidden="0" customHeight="1">
      <x:c r="A655" s="13" t="str">
        <x:v>vz5th9XijJ8</x:v>
      </x:c>
      <x:c r="B655" s="13" t="str">
        <x:v>Trading to Win | Stocks for Breakfast</x:v>
      </x:c>
      <x:c r="C655" s="14" t="d">
        <x:v>2020-09-23T00:00:00.000Z</x:v>
      </x:c>
      <x:c r="D655" s="18" t="e">
        <x:f>HYPERLINK("https://www.youtube.com/watch?v=vz5th9XijJ8","Watch video")</x:f>
        <x:v>HYPERLINK is not implemented. linkLocation=https://www.youtube.com/watch?v=vz5th9XijJ8, friendlyName=Watch video</x:v>
      </x:c>
      <x:c r="E655" s="18" t="e">
        <x:f>HYPERLINK("transcripts/vz5th9XijJ8.html","Complete transcript")</x:f>
        <x:v>HYPERLINK is not implemented. linkLocation=transcripts/vz5th9XijJ8.html, friendlyName=Complete transcript</x:v>
      </x:c>
      <x:c r="F655" s="13" t="str">
        <x:v>PETE_EXPLICIT</x:v>
      </x:c>
      <x:c r="G655" s="17" t="str">
        <x:v>UNREVIEWED</x:v>
      </x:c>
      <x:c r="H655" s="17" t="str"/>
      <x:c r="I655" s="17" t="str"/>
      <x:c r="J655" s="17" t="str"/>
      <x:c r="K655" s="17" t="str"/>
      <x:c r="L655" s="17" t="str"/>
      <x:c r="M655" s="17" t="str">
        <x:v>PENDING WHOLE-VIDEO REVIEW</x:v>
      </x:c>
      <x:c r="N655" s="15" t="n">
        <x:v>517</x:v>
      </x:c>
      <x:c r="O655" s="15" t="n">
        <x:v>3144</x:v>
      </x:c>
      <x:c r="P655" s="15" t="n">
        <x:v>940</x:v>
      </x:c>
      <x:c r="Q655" s="13" t="str">
        <x:v>NO_LARGE_TAIL_GAP</x:v>
      </x:c>
      <x:c r="R655" s="13" t="str"/>
      <x:c r="S655" s="16" t="n">
        <x:v>0</x:v>
      </x:c>
      <x:c r="T655" s="13" t="str">
        <x:v>ee8ab40d42213e0d0d51e3fc5151c95143042107e3d49eda20cb504ffe04bef5</x:v>
      </x:c>
    </x:row>
    <x:row r="656" ht="15" hidden="0" customHeight="1">
      <x:c r="A656" s="13" t="str">
        <x:v>w2oIzJMrxDA</x:v>
      </x:c>
      <x:c r="B656" s="13" t="str">
        <x:v>Stock Trading Strategies | The Order Flow Method</x:v>
      </x:c>
      <x:c r="C656" s="14" t="d">
        <x:v>2019-03-29T00:00:00.000Z</x:v>
      </x:c>
      <x:c r="D656" s="18" t="e">
        <x:f>HYPERLINK("https://www.youtube.com/watch?v=w2oIzJMrxDA","Watch video")</x:f>
        <x:v>HYPERLINK is not implemented. linkLocation=https://www.youtube.com/watch?v=w2oIzJMrxDA, friendlyName=Watch video</x:v>
      </x:c>
      <x:c r="E656" s="18" t="e">
        <x:f>HYPERLINK("transcripts/w2oIzJMrxDA.html","Complete transcript")</x:f>
        <x:v>HYPERLINK is not implemented. linkLocation=transcripts/w2oIzJMrxDA.html, friendlyName=Complete transcript</x:v>
      </x:c>
      <x:c r="F656" s="13" t="str">
        <x:v>UNKNOWN_REQUIRES_REVIEW</x:v>
      </x:c>
      <x:c r="G656" s="17" t="str">
        <x:v>UNREVIEWED</x:v>
      </x:c>
      <x:c r="H656" s="17" t="str"/>
      <x:c r="I656" s="17" t="str"/>
      <x:c r="J656" s="17" t="str"/>
      <x:c r="K656" s="17" t="str"/>
      <x:c r="L656" s="17" t="str"/>
      <x:c r="M656" s="17" t="str">
        <x:v>PENDING WHOLE-VIDEO REVIEW</x:v>
      </x:c>
      <x:c r="N656" s="15" t="n">
        <x:v>2358</x:v>
      </x:c>
      <x:c r="O656" s="15" t="n">
        <x:v>16842</x:v>
      </x:c>
      <x:c r="P656" s="15" t="n">
        <x:v>5243</x:v>
      </x:c>
      <x:c r="Q656" s="13" t="str">
        <x:v>NO_LARGE_TAIL_GAP</x:v>
      </x:c>
      <x:c r="R656" s="13" t="str"/>
      <x:c r="S656" s="16" t="n">
        <x:v>0</x:v>
      </x:c>
      <x:c r="T656" s="13" t="str">
        <x:v>330021332c26ce64aa9728f8d3c65e7797b991d70da6c6c17c1bf6dffade0e37</x:v>
      </x:c>
    </x:row>
    <x:row r="657" ht="15" hidden="0" customHeight="1">
      <x:c r="A657" s="13" t="str">
        <x:v>w360rZMt8Z0</x:v>
      </x:c>
      <x:c r="B657" s="13" t="str">
        <x:v>Swing Trading vs. Day Trading vs. Long-Term Investing — What’s the Difference?</x:v>
      </x:c>
      <x:c r="C657" s="14" t="d">
        <x:v>2026-05-19T00:00:00.000Z</x:v>
      </x:c>
      <x:c r="D657" s="18" t="e">
        <x:f>HYPERLINK("https://www.youtube.com/watch?v=w360rZMt8Z0","Watch video")</x:f>
        <x:v>HYPERLINK is not implemented. linkLocation=https://www.youtube.com/watch?v=w360rZMt8Z0, friendlyName=Watch video</x:v>
      </x:c>
      <x:c r="E657" s="18" t="e">
        <x:f>HYPERLINK("transcripts/w360rZMt8Z0.html","Complete transcript")</x:f>
        <x:v>HYPERLINK is not implemented. linkLocation=transcripts/w360rZMt8Z0.html, friendlyName=Complete transcript</x:v>
      </x:c>
      <x:c r="F657" s="13" t="str">
        <x:v>UNKNOWN_REQUIRES_REVIEW</x:v>
      </x:c>
      <x:c r="G657" s="17" t="str">
        <x:v>UNREVIEWED</x:v>
      </x:c>
      <x:c r="H657" s="17" t="str"/>
      <x:c r="I657" s="17" t="str"/>
      <x:c r="J657" s="17" t="str"/>
      <x:c r="K657" s="17" t="str"/>
      <x:c r="L657" s="17" t="str"/>
      <x:c r="M657" s="17" t="str">
        <x:v>PENDING WHOLE-VIDEO REVIEW</x:v>
      </x:c>
      <x:c r="N657" s="15" t="n">
        <x:v>251</x:v>
      </x:c>
      <x:c r="O657" s="15" t="n">
        <x:v>1558</x:v>
      </x:c>
      <x:c r="P657" s="15" t="n">
        <x:v>520</x:v>
      </x:c>
      <x:c r="Q657" s="13" t="str">
        <x:v>NO_LARGE_TAIL_GAP</x:v>
      </x:c>
      <x:c r="R657" s="13" t="str"/>
      <x:c r="S657" s="16" t="n">
        <x:v>0</x:v>
      </x:c>
      <x:c r="T657" s="13" t="str">
        <x:v>51ad414c7d4aa2c34a62769ac9ad87d126f67e88bb6cfe7931580d2c13131c5b</x:v>
      </x:c>
    </x:row>
    <x:row r="658" ht="15" hidden="0" customHeight="1">
      <x:c r="A658" s="13" t="str">
        <x:v>w3KcrQ0X-s0</x:v>
      </x:c>
      <x:c r="B658" s="13" t="str">
        <x:v>Stocks for Breakfast | Stop Losing Money</x:v>
      </x:c>
      <x:c r="C658" s="14" t="d">
        <x:v>2020-10-29T00:00:00.000Z</x:v>
      </x:c>
      <x:c r="D658" s="18" t="e">
        <x:f>HYPERLINK("https://www.youtube.com/watch?v=w3KcrQ0X-s0","Watch video")</x:f>
        <x:v>HYPERLINK is not implemented. linkLocation=https://www.youtube.com/watch?v=w3KcrQ0X-s0, friendlyName=Watch video</x:v>
      </x:c>
      <x:c r="E658" s="18" t="e">
        <x:f>HYPERLINK("transcripts/w3KcrQ0X-s0.html","Complete transcript")</x:f>
        <x:v>HYPERLINK is not implemented. linkLocation=transcripts/w3KcrQ0X-s0.html, friendlyName=Complete transcript</x:v>
      </x:c>
      <x:c r="F658" s="13" t="str">
        <x:v>PETE_EXPLICIT</x:v>
      </x:c>
      <x:c r="G658" s="17" t="str">
        <x:v>UNREVIEWED</x:v>
      </x:c>
      <x:c r="H658" s="17" t="str"/>
      <x:c r="I658" s="17" t="str"/>
      <x:c r="J658" s="17" t="str"/>
      <x:c r="K658" s="17" t="str"/>
      <x:c r="L658" s="17" t="str"/>
      <x:c r="M658" s="17" t="str">
        <x:v>PENDING WHOLE-VIDEO REVIEW</x:v>
      </x:c>
      <x:c r="N658" s="15" t="n">
        <x:v>396</x:v>
      </x:c>
      <x:c r="O658" s="15" t="n">
        <x:v>2372</x:v>
      </x:c>
      <x:c r="P658" s="15" t="n">
        <x:v>735</x:v>
      </x:c>
      <x:c r="Q658" s="13" t="str">
        <x:v>NO_LARGE_TAIL_GAP</x:v>
      </x:c>
      <x:c r="R658" s="13" t="str"/>
      <x:c r="S658" s="16" t="n">
        <x:v>0</x:v>
      </x:c>
      <x:c r="T658" s="13" t="str">
        <x:v>7e8ea318b1db0ed04ee0f4e1541f225a2ef90984bb8e80f6dbaa13a15b1e2b49</x:v>
      </x:c>
    </x:row>
    <x:row r="659" ht="15" hidden="0" customHeight="1">
      <x:c r="A659" s="13" t="str">
        <x:v>wB6lR6hTjM8</x:v>
      </x:c>
      <x:c r="B659" s="13" t="str">
        <x:v>Trading The VIX: Risks and Rewards</x:v>
      </x:c>
      <x:c r="C659" s="14" t="d">
        <x:v>2024-07-18T00:00:00.000Z</x:v>
      </x:c>
      <x:c r="D659" s="18" t="e">
        <x:f>HYPERLINK("https://www.youtube.com/watch?v=wB6lR6hTjM8","Watch video")</x:f>
        <x:v>HYPERLINK is not implemented. linkLocation=https://www.youtube.com/watch?v=wB6lR6hTjM8, friendlyName=Watch video</x:v>
      </x:c>
      <x:c r="E659" s="18" t="e">
        <x:f>HYPERLINK("transcripts/wB6lR6hTjM8.html","Complete transcript")</x:f>
        <x:v>HYPERLINK is not implemented. linkLocation=transcripts/wB6lR6hTjM8.html, friendlyName=Complete transcript</x:v>
      </x:c>
      <x:c r="F659" s="13" t="str">
        <x:v>NON_PETE_EXPLICIT_JOHN</x:v>
      </x:c>
      <x:c r="G659" s="17" t="str">
        <x:v>UNREVIEWED</x:v>
      </x:c>
      <x:c r="H659" s="17" t="str"/>
      <x:c r="I659" s="17" t="str"/>
      <x:c r="J659" s="17" t="str"/>
      <x:c r="K659" s="17" t="str"/>
      <x:c r="L659" s="17" t="str"/>
      <x:c r="M659" s="17" t="str">
        <x:v>PENDING WHOLE-VIDEO REVIEW</x:v>
      </x:c>
      <x:c r="N659" s="15" t="n">
        <x:v>429</x:v>
      </x:c>
      <x:c r="O659" s="15" t="n">
        <x:v>3303</x:v>
      </x:c>
      <x:c r="P659" s="15" t="n">
        <x:v>1005</x:v>
      </x:c>
      <x:c r="Q659" s="13" t="str">
        <x:v>NO_LARGE_TAIL_GAP</x:v>
      </x:c>
      <x:c r="R659" s="13" t="str"/>
      <x:c r="S659" s="16" t="n">
        <x:v>0</x:v>
      </x:c>
      <x:c r="T659" s="13" t="str">
        <x:v>d73fd0ab550266c3c9e7a32a4f616c4b8e8e291fb948dee992d6fff674a4b403</x:v>
      </x:c>
    </x:row>
    <x:row r="660" ht="15" hidden="0" customHeight="1">
      <x:c r="A660" s="13" t="str">
        <x:v>wHQrvWXF_xk</x:v>
      </x:c>
      <x:c r="B660" s="13" t="str">
        <x:v>Options Trading Update | This Week Ahead in the Markets</x:v>
      </x:c>
      <x:c r="C660" s="14" t="d">
        <x:v>2024-07-09T00:00:00.000Z</x:v>
      </x:c>
      <x:c r="D660" s="18" t="e">
        <x:f>HYPERLINK("https://www.youtube.com/watch?v=wHQrvWXF_xk","Watch video")</x:f>
        <x:v>HYPERLINK is not implemented. linkLocation=https://www.youtube.com/watch?v=wHQrvWXF_xk, friendlyName=Watch video</x:v>
      </x:c>
      <x:c r="E660" s="18" t="e">
        <x:f>HYPERLINK("transcripts/wHQrvWXF_xk.html","Complete transcript")</x:f>
        <x:v>HYPERLINK is not implemented. linkLocation=transcripts/wHQrvWXF_xk.html, friendlyName=Complete transcript</x:v>
      </x:c>
      <x:c r="F660" s="13" t="str">
        <x:v>NON_PETE_EXPLICIT_JOHN</x:v>
      </x:c>
      <x:c r="G660" s="17" t="str">
        <x:v>UNREVIEWED</x:v>
      </x:c>
      <x:c r="H660" s="17" t="str"/>
      <x:c r="I660" s="17" t="str"/>
      <x:c r="J660" s="17" t="str"/>
      <x:c r="K660" s="17" t="str"/>
      <x:c r="L660" s="17" t="str"/>
      <x:c r="M660" s="17" t="str">
        <x:v>PENDING WHOLE-VIDEO REVIEW</x:v>
      </x:c>
      <x:c r="N660" s="15" t="n">
        <x:v>301</x:v>
      </x:c>
      <x:c r="O660" s="15" t="n">
        <x:v>2317</x:v>
      </x:c>
      <x:c r="P660" s="15" t="n">
        <x:v>675</x:v>
      </x:c>
      <x:c r="Q660" s="13" t="str">
        <x:v>NO_LARGE_TAIL_GAP</x:v>
      </x:c>
      <x:c r="R660" s="13" t="str"/>
      <x:c r="S660" s="16" t="n">
        <x:v>0</x:v>
      </x:c>
      <x:c r="T660" s="13" t="str">
        <x:v>404f12b784e8bf1b6b24e729779734e8b51f99aa664b25d6022c99e3b404e670</x:v>
      </x:c>
    </x:row>
    <x:row r="661" ht="15" hidden="0" customHeight="1">
      <x:c r="A661" s="13" t="str">
        <x:v>wPZWAwCX7dw</x:v>
      </x:c>
      <x:c r="B661" s="13" t="str">
        <x:v>Trading AAPL Earnings | Best Stock Picks Today 10-29-20</x:v>
      </x:c>
      <x:c r="C661" s="14" t="d">
        <x:v>2020-10-29T00:00:00.000Z</x:v>
      </x:c>
      <x:c r="D661" s="18" t="e">
        <x:f>HYPERLINK("https://www.youtube.com/watch?v=wPZWAwCX7dw","Watch video")</x:f>
        <x:v>HYPERLINK is not implemented. linkLocation=https://www.youtube.com/watch?v=wPZWAwCX7dw, friendlyName=Watch video</x:v>
      </x:c>
      <x:c r="E661" s="18" t="e">
        <x:f>HYPERLINK("transcripts/wPZWAwCX7dw.html","Complete transcript")</x:f>
        <x:v>HYPERLINK is not implemented. linkLocation=transcripts/wPZWAwCX7dw.html, friendlyName=Complete transcript</x:v>
      </x:c>
      <x:c r="F661" s="13" t="str">
        <x:v>PETE_EXPLICIT</x:v>
      </x:c>
      <x:c r="G661" s="17" t="str">
        <x:v>UNREVIEWED</x:v>
      </x:c>
      <x:c r="H661" s="17" t="str"/>
      <x:c r="I661" s="17" t="str"/>
      <x:c r="J661" s="17" t="str"/>
      <x:c r="K661" s="17" t="str"/>
      <x:c r="L661" s="17" t="str"/>
      <x:c r="M661" s="17" t="str">
        <x:v>PENDING WHOLE-VIDEO REVIEW</x:v>
      </x:c>
      <x:c r="N661" s="15" t="n">
        <x:v>402</x:v>
      </x:c>
      <x:c r="O661" s="15" t="n">
        <x:v>2512</x:v>
      </x:c>
      <x:c r="P661" s="15" t="n">
        <x:v>691</x:v>
      </x:c>
      <x:c r="Q661" s="13" t="str">
        <x:v>NO_LARGE_TAIL_GAP</x:v>
      </x:c>
      <x:c r="R661" s="13" t="str"/>
      <x:c r="S661" s="16" t="n">
        <x:v>0</x:v>
      </x:c>
      <x:c r="T661" s="13" t="str">
        <x:v>f9ae20b287e6732847e06db3bf1dd1e5da419b76962ecda2ff46b89671f5603f</x:v>
      </x:c>
    </x:row>
    <x:row r="662" ht="15" hidden="0" customHeight="1">
      <x:c r="A662" s="13" t="str">
        <x:v>wWo70KG0Y8A</x:v>
      </x:c>
      <x:c r="B662" s="13" t="str">
        <x:v>The Daily Ticker: A Must Read for Stock Traders</x:v>
      </x:c>
      <x:c r="C662" s="14" t="d">
        <x:v>2023-03-01T00:00:00.000Z</x:v>
      </x:c>
      <x:c r="D662" s="18" t="e">
        <x:f>HYPERLINK("https://www.youtube.com/watch?v=wWo70KG0Y8A","Watch video")</x:f>
        <x:v>HYPERLINK is not implemented. linkLocation=https://www.youtube.com/watch?v=wWo70KG0Y8A, friendlyName=Watch video</x:v>
      </x:c>
      <x:c r="E662" s="18" t="e">
        <x:f>HYPERLINK("transcripts/wWo70KG0Y8A.html","Complete transcript")</x:f>
        <x:v>HYPERLINK is not implemented. linkLocation=transcripts/wWo70KG0Y8A.html, friendlyName=Complete transcript</x:v>
      </x:c>
      <x:c r="F662" s="13" t="str">
        <x:v>UNKNOWN_REQUIRES_REVIEW</x:v>
      </x:c>
      <x:c r="G662" s="17" t="str">
        <x:v>UNREVIEWED</x:v>
      </x:c>
      <x:c r="H662" s="17" t="str"/>
      <x:c r="I662" s="17" t="str"/>
      <x:c r="J662" s="17" t="str"/>
      <x:c r="K662" s="17" t="str"/>
      <x:c r="L662" s="17" t="str"/>
      <x:c r="M662" s="17" t="str">
        <x:v>PENDING WHOLE-VIDEO REVIEW</x:v>
      </x:c>
      <x:c r="N662" s="15" t="n">
        <x:v>18</x:v>
      </x:c>
      <x:c r="O662" s="15" t="n">
        <x:v>140</x:v>
      </x:c>
      <x:c r="P662" s="15" t="n">
        <x:v>29</x:v>
      </x:c>
      <x:c r="Q662" s="13" t="str">
        <x:v>NO_LARGE_TAIL_GAP</x:v>
      </x:c>
      <x:c r="R662" s="13" t="str"/>
      <x:c r="S662" s="16" t="n">
        <x:v>0</x:v>
      </x:c>
      <x:c r="T662" s="13" t="str">
        <x:v>b86a5c9efc7bb069d267369926aaeec8f0e005def132bfe8de26fae6e25c7b3e</x:v>
      </x:c>
    </x:row>
    <x:row r="663" ht="15" hidden="0" customHeight="1">
      <x:c r="A663" s="13" t="str">
        <x:v>wb2okX3svys</x:v>
      </x:c>
      <x:c r="B663" s="13" t="str">
        <x:v>Mastering Institutional Order Flow for Consistent Profits</x:v>
      </x:c>
      <x:c r="C663" s="14" t="d">
        <x:v>2016-10-18T00:00:00.000Z</x:v>
      </x:c>
      <x:c r="D663" s="18" t="e">
        <x:f>HYPERLINK("https://www.youtube.com/watch?v=wb2okX3svys","Watch video")</x:f>
        <x:v>HYPERLINK is not implemented. linkLocation=https://www.youtube.com/watch?v=wb2okX3svys, friendlyName=Watch video</x:v>
      </x:c>
      <x:c r="E663" s="18" t="e">
        <x:f>HYPERLINK("transcripts/wb2okX3svys.html","Complete transcript")</x:f>
        <x:v>HYPERLINK is not implemented. linkLocation=transcripts/wb2okX3svys.html, friendlyName=Complete transcript</x:v>
      </x:c>
      <x:c r="F663" s="13" t="str">
        <x:v>UNKNOWN_REQUIRES_REVIEW</x:v>
      </x:c>
      <x:c r="G663" s="17" t="str">
        <x:v>UNREVIEWED</x:v>
      </x:c>
      <x:c r="H663" s="17" t="str"/>
      <x:c r="I663" s="17" t="str"/>
      <x:c r="J663" s="17" t="str"/>
      <x:c r="K663" s="17" t="str"/>
      <x:c r="L663" s="17" t="str"/>
      <x:c r="M663" s="17" t="str">
        <x:v>PENDING WHOLE-VIDEO REVIEW</x:v>
      </x:c>
      <x:c r="N663" s="15" t="n">
        <x:v>334</x:v>
      </x:c>
      <x:c r="O663" s="15" t="n">
        <x:v>2282</x:v>
      </x:c>
      <x:c r="P663" s="15" t="n">
        <x:v>732</x:v>
      </x:c>
      <x:c r="Q663" s="13" t="str">
        <x:v>NO_LARGE_TAIL_GAP</x:v>
      </x:c>
      <x:c r="R663" s="13" t="str"/>
      <x:c r="S663" s="16" t="n">
        <x:v>0</x:v>
      </x:c>
      <x:c r="T663" s="13" t="str">
        <x:v>d4012d0849bc188317ba8c8f51907cb267b75deb348ec982eb38b73be567cc5d</x:v>
      </x:c>
    </x:row>
    <x:row r="664" ht="15" hidden="0" customHeight="1">
      <x:c r="A664" s="13" t="str">
        <x:v>wih6ureHrX8</x:v>
      </x:c>
      <x:c r="B664" s="13" t="str">
        <x:v>New Sector Rotation: The Stocks And Options Podcast</x:v>
      </x:c>
      <x:c r="C664" s="14" t="d">
        <x:v>2024-06-28T00:00:00.000Z</x:v>
      </x:c>
      <x:c r="D664" s="18" t="e">
        <x:f>HYPERLINK("https://www.youtube.com/watch?v=wih6ureHrX8","Watch video")</x:f>
        <x:v>HYPERLINK is not implemented. linkLocation=https://www.youtube.com/watch?v=wih6ureHrX8, friendlyName=Watch video</x:v>
      </x:c>
      <x:c r="E664" s="18" t="e">
        <x:f>HYPERLINK("transcripts/wih6ureHrX8.html","Complete transcript")</x:f>
        <x:v>HYPERLINK is not implemented. linkLocation=transcripts/wih6ureHrX8.html, friendlyName=Complete transcript</x:v>
      </x:c>
      <x:c r="F664" s="13" t="str">
        <x:v>UNKNOWN_REQUIRES_REVIEW</x:v>
      </x:c>
      <x:c r="G664" s="17" t="str">
        <x:v>UNREVIEWED</x:v>
      </x:c>
      <x:c r="H664" s="17" t="str"/>
      <x:c r="I664" s="17" t="str"/>
      <x:c r="J664" s="17" t="str"/>
      <x:c r="K664" s="17" t="str"/>
      <x:c r="L664" s="17" t="str"/>
      <x:c r="M664" s="17" t="str">
        <x:v>PENDING WHOLE-VIDEO REVIEW</x:v>
      </x:c>
      <x:c r="N664" s="15" t="n">
        <x:v>924</x:v>
      </x:c>
      <x:c r="O664" s="15" t="n">
        <x:v>6980</x:v>
      </x:c>
      <x:c r="P664" s="15" t="n">
        <x:v>1910</x:v>
      </x:c>
      <x:c r="Q664" s="13" t="str">
        <x:v>NO_LARGE_TAIL_GAP</x:v>
      </x:c>
      <x:c r="R664" s="13" t="str"/>
      <x:c r="S664" s="16" t="n">
        <x:v>0</x:v>
      </x:c>
      <x:c r="T664" s="13" t="str">
        <x:v>0ff1d7fd736cc4fa45dd87935bb34f2f96f03e81d0a3d10cedfb20b514356f5e</x:v>
      </x:c>
    </x:row>
    <x:row r="665" ht="15" hidden="0" customHeight="1">
      <x:c r="A665" s="13" t="str">
        <x:v>wn4JcXJXZEg</x:v>
      </x:c>
      <x:c r="B665" s="13" t="str">
        <x:v>Trading LULU Stock Breakout | 7-10-20 Best Stock Picks Today</x:v>
      </x:c>
      <x:c r="C665" s="14" t="d">
        <x:v>2020-07-10T00:00:00.000Z</x:v>
      </x:c>
      <x:c r="D665" s="18" t="e">
        <x:f>HYPERLINK("https://www.youtube.com/watch?v=wn4JcXJXZEg","Watch video")</x:f>
        <x:v>HYPERLINK is not implemented. linkLocation=https://www.youtube.com/watch?v=wn4JcXJXZEg, friendlyName=Watch video</x:v>
      </x:c>
      <x:c r="E665" s="18" t="e">
        <x:f>HYPERLINK("transcripts/wn4JcXJXZEg.html","Complete transcript")</x:f>
        <x:v>HYPERLINK is not implemented. linkLocation=transcripts/wn4JcXJXZEg.html, friendlyName=Complete transcript</x:v>
      </x:c>
      <x:c r="F665" s="13" t="str">
        <x:v>PETE_EXPLICIT</x:v>
      </x:c>
      <x:c r="G665" s="17" t="str">
        <x:v>UNREVIEWED</x:v>
      </x:c>
      <x:c r="H665" s="17" t="str"/>
      <x:c r="I665" s="17" t="str"/>
      <x:c r="J665" s="17" t="str"/>
      <x:c r="K665" s="17" t="str"/>
      <x:c r="L665" s="17" t="str"/>
      <x:c r="M665" s="17" t="str">
        <x:v>PENDING WHOLE-VIDEO REVIEW</x:v>
      </x:c>
      <x:c r="N665" s="15" t="n">
        <x:v>681</x:v>
      </x:c>
      <x:c r="O665" s="15" t="n">
        <x:v>4283</x:v>
      </x:c>
      <x:c r="P665" s="15" t="n">
        <x:v>1168</x:v>
      </x:c>
      <x:c r="Q665" s="13" t="str">
        <x:v>NO_LARGE_TAIL_GAP</x:v>
      </x:c>
      <x:c r="R665" s="13" t="str"/>
      <x:c r="S665" s="16" t="n">
        <x:v>0</x:v>
      </x:c>
      <x:c r="T665" s="13" t="str">
        <x:v>f9cd549274b6a0f2b19e4727c8affdadbae17cf7ffe77b1321abe5b2287dd2ae</x:v>
      </x:c>
    </x:row>
    <x:row r="666" ht="15" hidden="0" customHeight="1">
      <x:c r="A666" s="13" t="str">
        <x:v>wqcAN9hzHc0</x:v>
      </x:c>
      <x:c r="B666" s="13" t="str">
        <x:v>Trading SQ and PYPL | Best Stock Picks Today 11-24-20</x:v>
      </x:c>
      <x:c r="C666" s="14" t="d">
        <x:v>2020-11-24T00:00:00.000Z</x:v>
      </x:c>
      <x:c r="D666" s="18" t="e">
        <x:f>HYPERLINK("https://www.youtube.com/watch?v=wqcAN9hzHc0","Watch video")</x:f>
        <x:v>HYPERLINK is not implemented. linkLocation=https://www.youtube.com/watch?v=wqcAN9hzHc0, friendlyName=Watch video</x:v>
      </x:c>
      <x:c r="E666" s="18" t="e">
        <x:f>HYPERLINK("transcripts/wqcAN9hzHc0.html","Complete transcript")</x:f>
        <x:v>HYPERLINK is not implemented. linkLocation=transcripts/wqcAN9hzHc0.html, friendlyName=Complete transcript</x:v>
      </x:c>
      <x:c r="F666" s="13" t="str">
        <x:v>PETE_EXPLICIT</x:v>
      </x:c>
      <x:c r="G666" s="17" t="str">
        <x:v>UNREVIEWED</x:v>
      </x:c>
      <x:c r="H666" s="17" t="str"/>
      <x:c r="I666" s="17" t="str"/>
      <x:c r="J666" s="17" t="str"/>
      <x:c r="K666" s="17" t="str"/>
      <x:c r="L666" s="17" t="str"/>
      <x:c r="M666" s="17" t="str">
        <x:v>PENDING WHOLE-VIDEO REVIEW</x:v>
      </x:c>
      <x:c r="N666" s="15" t="n">
        <x:v>434</x:v>
      </x:c>
      <x:c r="O666" s="15" t="n">
        <x:v>2667</x:v>
      </x:c>
      <x:c r="P666" s="15" t="n">
        <x:v>764</x:v>
      </x:c>
      <x:c r="Q666" s="13" t="str">
        <x:v>NO_LARGE_TAIL_GAP</x:v>
      </x:c>
      <x:c r="R666" s="13" t="str"/>
      <x:c r="S666" s="16" t="n">
        <x:v>0</x:v>
      </x:c>
      <x:c r="T666" s="13" t="str">
        <x:v>71cdf455c474541d9018743d50465a6405107c6ee3647cea0122c97b4a786e91</x:v>
      </x:c>
    </x:row>
    <x:row r="667" ht="15" hidden="0" customHeight="1">
      <x:c r="A667" s="13" t="str">
        <x:v>wvI4XDwoPsA</x:v>
      </x:c>
      <x:c r="B667" s="13" t="str">
        <x:v>AAPL 5G iPhone | Best Stock Picks Today 101320</x:v>
      </x:c>
      <x:c r="C667" s="14" t="d">
        <x:v>2020-10-13T00:00:00.000Z</x:v>
      </x:c>
      <x:c r="D667" s="18" t="e">
        <x:f>HYPERLINK("https://www.youtube.com/watch?v=wvI4XDwoPsA","Watch video")</x:f>
        <x:v>HYPERLINK is not implemented. linkLocation=https://www.youtube.com/watch?v=wvI4XDwoPsA, friendlyName=Watch video</x:v>
      </x:c>
      <x:c r="E667" s="18" t="e">
        <x:f>HYPERLINK("transcripts/wvI4XDwoPsA.html","Complete transcript")</x:f>
        <x:v>HYPERLINK is not implemented. linkLocation=transcripts/wvI4XDwoPsA.html, friendlyName=Complete transcript</x:v>
      </x:c>
      <x:c r="F667" s="13" t="str">
        <x:v>PETE_EXPLICIT</x:v>
      </x:c>
      <x:c r="G667" s="17" t="str">
        <x:v>UNREVIEWED</x:v>
      </x:c>
      <x:c r="H667" s="17" t="str"/>
      <x:c r="I667" s="17" t="str"/>
      <x:c r="J667" s="17" t="str"/>
      <x:c r="K667" s="17" t="str"/>
      <x:c r="L667" s="17" t="str"/>
      <x:c r="M667" s="17" t="str">
        <x:v>PENDING WHOLE-VIDEO REVIEW</x:v>
      </x:c>
      <x:c r="N667" s="15" t="n">
        <x:v>397</x:v>
      </x:c>
      <x:c r="O667" s="15" t="n">
        <x:v>2464</x:v>
      </x:c>
      <x:c r="P667" s="15" t="n">
        <x:v>691</x:v>
      </x:c>
      <x:c r="Q667" s="13" t="str">
        <x:v>NO_LARGE_TAIL_GAP</x:v>
      </x:c>
      <x:c r="R667" s="13" t="str"/>
      <x:c r="S667" s="16" t="n">
        <x:v>0</x:v>
      </x:c>
      <x:c r="T667" s="13" t="str">
        <x:v>0a79e5decb52d389cbcc3bd3f9c2046b489f0e67923248141f827c5f62bdd434</x:v>
      </x:c>
    </x:row>
    <x:row r="668" ht="15" hidden="0" customHeight="1">
      <x:c r="A668" s="13" t="str">
        <x:v>wysuylCrtcY</x:v>
      </x:c>
      <x:c r="B668" s="13" t="str">
        <x:v>How to Interpret Earnings Reports | David Trainer CEO New Constructs</x:v>
      </x:c>
      <x:c r="C668" s="14" t="d">
        <x:v>2021-10-28T00:00:00.000Z</x:v>
      </x:c>
      <x:c r="D668" s="18" t="e">
        <x:f>HYPERLINK("https://www.youtube.com/watch?v=wysuylCrtcY","Watch video")</x:f>
        <x:v>HYPERLINK is not implemented. linkLocation=https://www.youtube.com/watch?v=wysuylCrtcY, friendlyName=Watch video</x:v>
      </x:c>
      <x:c r="E668" s="18" t="e">
        <x:f>HYPERLINK("transcripts/wysuylCrtcY.html","Complete transcript")</x:f>
        <x:v>HYPERLINK is not implemented. linkLocation=transcripts/wysuylCrtcY.html, friendlyName=Complete transcript</x:v>
      </x:c>
      <x:c r="F668" s="13" t="str">
        <x:v>UNKNOWN_REQUIRES_REVIEW</x:v>
      </x:c>
      <x:c r="G668" s="17" t="str">
        <x:v>UNREVIEWED</x:v>
      </x:c>
      <x:c r="H668" s="17" t="str"/>
      <x:c r="I668" s="17" t="str"/>
      <x:c r="J668" s="17" t="str"/>
      <x:c r="K668" s="17" t="str"/>
      <x:c r="L668" s="17" t="str"/>
      <x:c r="M668" s="17" t="str">
        <x:v>PENDING WHOLE-VIDEO REVIEW</x:v>
      </x:c>
      <x:c r="N668" s="15" t="n">
        <x:v>1711</x:v>
      </x:c>
      <x:c r="O668" s="15" t="n">
        <x:v>10476</x:v>
      </x:c>
      <x:c r="P668" s="15" t="n">
        <x:v>3469</x:v>
      </x:c>
      <x:c r="Q668" s="13" t="str">
        <x:v>NO_LARGE_TAIL_GAP</x:v>
      </x:c>
      <x:c r="R668" s="13" t="str"/>
      <x:c r="S668" s="16" t="n">
        <x:v>0</x:v>
      </x:c>
      <x:c r="T668" s="13" t="str">
        <x:v>b91a4424abe9fd85d54749fb90e4dcdc6406d2ae7dc9ae55430d9d79bc6e0234</x:v>
      </x:c>
    </x:row>
    <x:row r="669" ht="15" hidden="0" customHeight="1">
      <x:c r="A669" s="13" t="str">
        <x:v>x-pR95Szsh8</x:v>
      </x:c>
      <x:c r="B669" s="13" t="str">
        <x:v>Managing Winning Trades | Stocks for Breakfast</x:v>
      </x:c>
      <x:c r="C669" s="14" t="d">
        <x:v>2020-11-10T00:00:00.000Z</x:v>
      </x:c>
      <x:c r="D669" s="18" t="e">
        <x:f>HYPERLINK("https://www.youtube.com/watch?v=x-pR95Szsh8","Watch video")</x:f>
        <x:v>HYPERLINK is not implemented. linkLocation=https://www.youtube.com/watch?v=x-pR95Szsh8, friendlyName=Watch video</x:v>
      </x:c>
      <x:c r="E669" s="18" t="e">
        <x:f>HYPERLINK("transcripts/x-pR95Szsh8.html","Complete transcript")</x:f>
        <x:v>HYPERLINK is not implemented. linkLocation=transcripts/x-pR95Szsh8.html, friendlyName=Complete transcript</x:v>
      </x:c>
      <x:c r="F669" s="13" t="str">
        <x:v>PETE_EXPLICIT</x:v>
      </x:c>
      <x:c r="G669" s="17" t="str">
        <x:v>UNREVIEWED</x:v>
      </x:c>
      <x:c r="H669" s="17" t="str"/>
      <x:c r="I669" s="17" t="str"/>
      <x:c r="J669" s="17" t="str"/>
      <x:c r="K669" s="17" t="str"/>
      <x:c r="L669" s="17" t="str"/>
      <x:c r="M669" s="17" t="str">
        <x:v>PENDING WHOLE-VIDEO REVIEW</x:v>
      </x:c>
      <x:c r="N669" s="15" t="n">
        <x:v>580</x:v>
      </x:c>
      <x:c r="O669" s="15" t="n">
        <x:v>3608</x:v>
      </x:c>
      <x:c r="P669" s="15" t="n">
        <x:v>1026</x:v>
      </x:c>
      <x:c r="Q669" s="13" t="str">
        <x:v>NO_LARGE_TAIL_GAP</x:v>
      </x:c>
      <x:c r="R669" s="13" t="str"/>
      <x:c r="S669" s="16" t="n">
        <x:v>0</x:v>
      </x:c>
      <x:c r="T669" s="13" t="str">
        <x:v>0f457d043be7a07e3210fbef4d0081ce2c85d98d7b918b893c3f7cfc76f1f21f</x:v>
      </x:c>
    </x:row>
    <x:row r="670" ht="15" hidden="0" customHeight="1">
      <x:c r="A670" s="13" t="str">
        <x:v>x9Brd3o0Ko4</x:v>
      </x:c>
      <x:c r="B670" s="13" t="str">
        <x:v>Ask Me Anything Episode 1 | Your Top Stock Trading Questions</x:v>
      </x:c>
      <x:c r="C670" s="14" t="d">
        <x:v>2020-04-05T00:00:00.000Z</x:v>
      </x:c>
      <x:c r="D670" s="18" t="e">
        <x:f>HYPERLINK("https://www.youtube.com/watch?v=x9Brd3o0Ko4","Watch video")</x:f>
        <x:v>HYPERLINK is not implemented. linkLocation=https://www.youtube.com/watch?v=x9Brd3o0Ko4, friendlyName=Watch video</x:v>
      </x:c>
      <x:c r="E670" s="18" t="e">
        <x:f>HYPERLINK("transcripts/x9Brd3o0Ko4.html","Complete transcript")</x:f>
        <x:v>HYPERLINK is not implemented. linkLocation=transcripts/x9Brd3o0Ko4.html, friendlyName=Complete transcript</x:v>
      </x:c>
      <x:c r="F670" s="13" t="str">
        <x:v>UNKNOWN_REQUIRES_REVIEW</x:v>
      </x:c>
      <x:c r="G670" s="17" t="str">
        <x:v>UNREVIEWED</x:v>
      </x:c>
      <x:c r="H670" s="17" t="str"/>
      <x:c r="I670" s="17" t="str"/>
      <x:c r="J670" s="17" t="str"/>
      <x:c r="K670" s="17" t="str"/>
      <x:c r="L670" s="17" t="str"/>
      <x:c r="M670" s="17" t="str">
        <x:v>PENDING WHOLE-VIDEO REVIEW</x:v>
      </x:c>
      <x:c r="N670" s="15" t="n">
        <x:v>393</x:v>
      </x:c>
      <x:c r="O670" s="15" t="n">
        <x:v>2882</x:v>
      </x:c>
      <x:c r="P670" s="15" t="n">
        <x:v>823</x:v>
      </x:c>
      <x:c r="Q670" s="13" t="str">
        <x:v>NO_LARGE_TAIL_GAP</x:v>
      </x:c>
      <x:c r="R670" s="13" t="str"/>
      <x:c r="S670" s="16" t="n">
        <x:v>0</x:v>
      </x:c>
      <x:c r="T670" s="13" t="str">
        <x:v>538877153b357c7aa29cd1814a50dcb694034ddbcabd9711d61bc4f99a3b7001</x:v>
      </x:c>
    </x:row>
    <x:row r="671" ht="15" hidden="0" customHeight="1">
      <x:c r="A671" s="13" t="str">
        <x:v>xBl8bZ6sVZo</x:v>
      </x:c>
      <x:c r="B671" s="13" t="str">
        <x:v>The Best Trading Books You Should Read</x:v>
      </x:c>
      <x:c r="C671" s="14" t="d">
        <x:v>2021-11-06T00:00:00.000Z</x:v>
      </x:c>
      <x:c r="D671" s="18" t="e">
        <x:f>HYPERLINK("https://www.youtube.com/watch?v=xBl8bZ6sVZo","Watch video")</x:f>
        <x:v>HYPERLINK is not implemented. linkLocation=https://www.youtube.com/watch?v=xBl8bZ6sVZo, friendlyName=Watch video</x:v>
      </x:c>
      <x:c r="E671" s="18" t="e">
        <x:f>HYPERLINK("transcripts/xBl8bZ6sVZo.html","Complete transcript")</x:f>
        <x:v>HYPERLINK is not implemented. linkLocation=transcripts/xBl8bZ6sVZo.html, friendlyName=Complete transcript</x:v>
      </x:c>
      <x:c r="F671" s="13" t="str">
        <x:v>PETE_EXPLICIT</x:v>
      </x:c>
      <x:c r="G671" s="17" t="str">
        <x:v>UNREVIEWED</x:v>
      </x:c>
      <x:c r="H671" s="17" t="str"/>
      <x:c r="I671" s="17" t="str"/>
      <x:c r="J671" s="17" t="str"/>
      <x:c r="K671" s="17" t="str"/>
      <x:c r="L671" s="17" t="str"/>
      <x:c r="M671" s="17" t="str">
        <x:v>PENDING WHOLE-VIDEO REVIEW</x:v>
      </x:c>
      <x:c r="N671" s="15" t="n">
        <x:v>770</x:v>
      </x:c>
      <x:c r="O671" s="15" t="n">
        <x:v>5206</x:v>
      </x:c>
      <x:c r="P671" s="15" t="n">
        <x:v>1560</x:v>
      </x:c>
      <x:c r="Q671" s="13" t="str">
        <x:v>NO_LARGE_TAIL_GAP</x:v>
      </x:c>
      <x:c r="R671" s="13" t="str"/>
      <x:c r="S671" s="16" t="n">
        <x:v>0</x:v>
      </x:c>
      <x:c r="T671" s="13" t="str">
        <x:v>0b1821b3438b79b85d2824562208a1f96a2959337f425a4c0a4b8910569bca0f</x:v>
      </x:c>
    </x:row>
    <x:row r="672" ht="15" hidden="0" customHeight="1">
      <x:c r="A672" s="13" t="str">
        <x:v>xF3pwu-mCRc</x:v>
      </x:c>
      <x:c r="B672" s="13" t="str">
        <x:v>Best Stock Picks Today | Trading NFLX Netflix Earnings 1-19- 21</x:v>
      </x:c>
      <x:c r="C672" s="14" t="d">
        <x:v>2021-01-19T00:00:00.000Z</x:v>
      </x:c>
      <x:c r="D672" s="18" t="e">
        <x:f>HYPERLINK("https://www.youtube.com/watch?v=xF3pwu-mCRc","Watch video")</x:f>
        <x:v>HYPERLINK is not implemented. linkLocation=https://www.youtube.com/watch?v=xF3pwu-mCRc, friendlyName=Watch video</x:v>
      </x:c>
      <x:c r="E672" s="18" t="e">
        <x:f>HYPERLINK("transcripts/xF3pwu-mCRc.html","Complete transcript")</x:f>
        <x:v>HYPERLINK is not implemented. linkLocation=transcripts/xF3pwu-mCRc.html, friendlyName=Complete transcript</x:v>
      </x:c>
      <x:c r="F672" s="13" t="str">
        <x:v>UNKNOWN_REQUIRES_REVIEW</x:v>
      </x:c>
      <x:c r="G672" s="17" t="str">
        <x:v>UNREVIEWED</x:v>
      </x:c>
      <x:c r="H672" s="17" t="str"/>
      <x:c r="I672" s="17" t="str"/>
      <x:c r="J672" s="17" t="str"/>
      <x:c r="K672" s="17" t="str"/>
      <x:c r="L672" s="17" t="str"/>
      <x:c r="M672" s="17" t="str">
        <x:v>PENDING WHOLE-VIDEO REVIEW</x:v>
      </x:c>
      <x:c r="N672" s="15" t="n">
        <x:v>282</x:v>
      </x:c>
      <x:c r="O672" s="15" t="n">
        <x:v>1759</x:v>
      </x:c>
      <x:c r="P672" s="15" t="n">
        <x:v>489</x:v>
      </x:c>
      <x:c r="Q672" s="13" t="str">
        <x:v>NO_LARGE_TAIL_GAP</x:v>
      </x:c>
      <x:c r="R672" s="13" t="str"/>
      <x:c r="S672" s="16" t="n">
        <x:v>0</x:v>
      </x:c>
      <x:c r="T672" s="13" t="str">
        <x:v>df3e3f8bdb0ee01e5cc17b8f1f4341321628f7302ee0cbf00f5d2ea830e993d0</x:v>
      </x:c>
    </x:row>
    <x:row r="673" ht="15" hidden="0" customHeight="1">
      <x:c r="A673" s="13" t="str">
        <x:v>xWSV5bSnZSU</x:v>
      </x:c>
      <x:c r="B673" s="13" t="str">
        <x:v>Stocks vs Options: Which One Is Better?</x:v>
      </x:c>
      <x:c r="C673" s="14" t="d">
        <x:v>2024-09-20T00:00:00.000Z</x:v>
      </x:c>
      <x:c r="D673" s="18" t="e">
        <x:f>HYPERLINK("https://www.youtube.com/watch?v=xWSV5bSnZSU","Watch video")</x:f>
        <x:v>HYPERLINK is not implemented. linkLocation=https://www.youtube.com/watch?v=xWSV5bSnZSU, friendlyName=Watch video</x:v>
      </x:c>
      <x:c r="E673" s="18" t="e">
        <x:f>HYPERLINK("transcripts/xWSV5bSnZSU.html","Complete transcript")</x:f>
        <x:v>HYPERLINK is not implemented. linkLocation=transcripts/xWSV5bSnZSU.html, friendlyName=Complete transcript</x:v>
      </x:c>
      <x:c r="F673" s="13" t="str">
        <x:v>UNKNOWN_REQUIRES_REVIEW</x:v>
      </x:c>
      <x:c r="G673" s="17" t="str">
        <x:v>UNREVIEWED</x:v>
      </x:c>
      <x:c r="H673" s="17" t="str"/>
      <x:c r="I673" s="17" t="str"/>
      <x:c r="J673" s="17" t="str"/>
      <x:c r="K673" s="17" t="str"/>
      <x:c r="L673" s="17" t="str"/>
      <x:c r="M673" s="17" t="str">
        <x:v>PENDING WHOLE-VIDEO REVIEW</x:v>
      </x:c>
      <x:c r="N673" s="15" t="n">
        <x:v>462</x:v>
      </x:c>
      <x:c r="O673" s="15" t="n">
        <x:v>3235</x:v>
      </x:c>
      <x:c r="P673" s="15" t="n">
        <x:v>916</x:v>
      </x:c>
      <x:c r="Q673" s="13" t="str">
        <x:v>NO_LARGE_TAIL_GAP</x:v>
      </x:c>
      <x:c r="R673" s="13" t="str"/>
      <x:c r="S673" s="16" t="n">
        <x:v>0</x:v>
      </x:c>
      <x:c r="T673" s="13" t="str">
        <x:v>c4691eda0095747bbe3dd44e8d39743bc40f312148a60d14bf60b2eeb22cda51</x:v>
      </x:c>
    </x:row>
    <x:row r="674" ht="15" hidden="0" customHeight="1">
      <x:c r="A674" s="13" t="str">
        <x:v>x_KHQ8ndFSI</x:v>
      </x:c>
      <x:c r="B674" s="13" t="str">
        <x:v>ENPH Stock 6-18-20 | Best Stock Picks Today</x:v>
      </x:c>
      <x:c r="C674" s="14" t="d">
        <x:v>2020-06-18T00:00:00.000Z</x:v>
      </x:c>
      <x:c r="D674" s="18" t="e">
        <x:f>HYPERLINK("https://www.youtube.com/watch?v=x_KHQ8ndFSI","Watch video")</x:f>
        <x:v>HYPERLINK is not implemented. linkLocation=https://www.youtube.com/watch?v=x_KHQ8ndFSI, friendlyName=Watch video</x:v>
      </x:c>
      <x:c r="E674" s="18" t="e">
        <x:f>HYPERLINK("transcripts/x_KHQ8ndFSI.html","Complete transcript")</x:f>
        <x:v>HYPERLINK is not implemented. linkLocation=transcripts/x_KHQ8ndFSI.html, friendlyName=Complete transcript</x:v>
      </x:c>
      <x:c r="F674" s="13" t="str">
        <x:v>PETE_EXPLICIT</x:v>
      </x:c>
      <x:c r="G674" s="17" t="str">
        <x:v>UNREVIEWED</x:v>
      </x:c>
      <x:c r="H674" s="17" t="str"/>
      <x:c r="I674" s="17" t="str"/>
      <x:c r="J674" s="17" t="str"/>
      <x:c r="K674" s="17" t="str"/>
      <x:c r="L674" s="17" t="str"/>
      <x:c r="M674" s="17" t="str">
        <x:v>PENDING WHOLE-VIDEO REVIEW</x:v>
      </x:c>
      <x:c r="N674" s="15" t="n">
        <x:v>266</x:v>
      </x:c>
      <x:c r="O674" s="15" t="n">
        <x:v>1921</x:v>
      </x:c>
      <x:c r="P674" s="15" t="n">
        <x:v>555</x:v>
      </x:c>
      <x:c r="Q674" s="13" t="str">
        <x:v>NO_LARGE_TAIL_GAP</x:v>
      </x:c>
      <x:c r="R674" s="13" t="str"/>
      <x:c r="S674" s="16" t="n">
        <x:v>0</x:v>
      </x:c>
      <x:c r="T674" s="13" t="str">
        <x:v>d7e7778b4cfb86f0053836cdad9ebd333fb21f3fd583ce21ca2b44ae494e1438</x:v>
      </x:c>
    </x:row>
    <x:row r="675" ht="15" hidden="0" customHeight="1">
      <x:c r="A675" s="13" t="str">
        <x:v>xarFBiRalTc</x:v>
      </x:c>
      <x:c r="B675" s="13" t="str">
        <x:v>UBER LYFT Proposition 22 | Best Stock Picks Today 11-4-20</x:v>
      </x:c>
      <x:c r="C675" s="14" t="d">
        <x:v>2020-11-04T00:00:00.000Z</x:v>
      </x:c>
      <x:c r="D675" s="18" t="e">
        <x:f>HYPERLINK("https://www.youtube.com/watch?v=xarFBiRalTc","Watch video")</x:f>
        <x:v>HYPERLINK is not implemented. linkLocation=https://www.youtube.com/watch?v=xarFBiRalTc, friendlyName=Watch video</x:v>
      </x:c>
      <x:c r="E675" s="18" t="e">
        <x:f>HYPERLINK("transcripts/xarFBiRalTc.html","Complete transcript")</x:f>
        <x:v>HYPERLINK is not implemented. linkLocation=transcripts/xarFBiRalTc.html, friendlyName=Complete transcript</x:v>
      </x:c>
      <x:c r="F675" s="13" t="str">
        <x:v>PETE_EXPLICIT</x:v>
      </x:c>
      <x:c r="G675" s="17" t="str">
        <x:v>UNREVIEWED</x:v>
      </x:c>
      <x:c r="H675" s="17" t="str"/>
      <x:c r="I675" s="17" t="str"/>
      <x:c r="J675" s="17" t="str"/>
      <x:c r="K675" s="17" t="str"/>
      <x:c r="L675" s="17" t="str"/>
      <x:c r="M675" s="17" t="str">
        <x:v>PENDING WHOLE-VIDEO REVIEW</x:v>
      </x:c>
      <x:c r="N675" s="15" t="n">
        <x:v>321</x:v>
      </x:c>
      <x:c r="O675" s="15" t="n">
        <x:v>2023</x:v>
      </x:c>
      <x:c r="P675" s="15" t="n">
        <x:v>593</x:v>
      </x:c>
      <x:c r="Q675" s="13" t="str">
        <x:v>NO_LARGE_TAIL_GAP</x:v>
      </x:c>
      <x:c r="R675" s="13" t="str"/>
      <x:c r="S675" s="16" t="n">
        <x:v>0</x:v>
      </x:c>
      <x:c r="T675" s="13" t="str">
        <x:v>39fbc55d610610080f30c40f73958e0f5932deb1fd8dc9b0e4d0811bce3df8cc</x:v>
      </x:c>
    </x:row>
    <x:row r="676" ht="15" hidden="0" customHeight="1">
      <x:c r="A676" s="13" t="str">
        <x:v>xlaI0knw018</x:v>
      </x:c>
      <x:c r="B676" s="13" t="str">
        <x:v>Chart Reading Made Easy AAPL | Stocks for Breakfast</x:v>
      </x:c>
      <x:c r="C676" s="14" t="d">
        <x:v>2020-08-27T00:00:00.000Z</x:v>
      </x:c>
      <x:c r="D676" s="18" t="e">
        <x:f>HYPERLINK("https://www.youtube.com/watch?v=xlaI0knw018","Watch video")</x:f>
        <x:v>HYPERLINK is not implemented. linkLocation=https://www.youtube.com/watch?v=xlaI0knw018, friendlyName=Watch video</x:v>
      </x:c>
      <x:c r="E676" s="18" t="e">
        <x:f>HYPERLINK("transcripts/xlaI0knw018.html","Complete transcript")</x:f>
        <x:v>HYPERLINK is not implemented. linkLocation=transcripts/xlaI0knw018.html, friendlyName=Complete transcript</x:v>
      </x:c>
      <x:c r="F676" s="13" t="str">
        <x:v>PETE_EXPLICIT</x:v>
      </x:c>
      <x:c r="G676" s="17" t="str">
        <x:v>UNREVIEWED</x:v>
      </x:c>
      <x:c r="H676" s="17" t="str"/>
      <x:c r="I676" s="17" t="str"/>
      <x:c r="J676" s="17" t="str"/>
      <x:c r="K676" s="17" t="str"/>
      <x:c r="L676" s="17" t="str"/>
      <x:c r="M676" s="17" t="str">
        <x:v>PENDING WHOLE-VIDEO REVIEW</x:v>
      </x:c>
      <x:c r="N676" s="15" t="n">
        <x:v>559</x:v>
      </x:c>
      <x:c r="O676" s="15" t="n">
        <x:v>3406</x:v>
      </x:c>
      <x:c r="P676" s="15" t="n">
        <x:v>1020</x:v>
      </x:c>
      <x:c r="Q676" s="13" t="str">
        <x:v>NO_LARGE_TAIL_GAP</x:v>
      </x:c>
      <x:c r="R676" s="13" t="str"/>
      <x:c r="S676" s="16" t="n">
        <x:v>0</x:v>
      </x:c>
      <x:c r="T676" s="13" t="str">
        <x:v>0cd8a5af9bdae35c65800930e838ef91c5281d8a8e40d39f59e81b98c322a68f</x:v>
      </x:c>
    </x:row>
    <x:row r="677" ht="15" hidden="0" customHeight="1">
      <x:c r="A677" s="13" t="str">
        <x:v>xpnLq7GdMu8</x:v>
      </x:c>
      <x:c r="B677" s="13" t="str">
        <x:v>AAPL Trade Setup | Best Stock Picks Today 11-23-20</x:v>
      </x:c>
      <x:c r="C677" s="14" t="d">
        <x:v>2020-11-23T00:00:00.000Z</x:v>
      </x:c>
      <x:c r="D677" s="18" t="e">
        <x:f>HYPERLINK("https://www.youtube.com/watch?v=xpnLq7GdMu8","Watch video")</x:f>
        <x:v>HYPERLINK is not implemented. linkLocation=https://www.youtube.com/watch?v=xpnLq7GdMu8, friendlyName=Watch video</x:v>
      </x:c>
      <x:c r="E677" s="18" t="e">
        <x:f>HYPERLINK("transcripts/xpnLq7GdMu8.html","Complete transcript")</x:f>
        <x:v>HYPERLINK is not implemented. linkLocation=transcripts/xpnLq7GdMu8.html, friendlyName=Complete transcript</x:v>
      </x:c>
      <x:c r="F677" s="13" t="str">
        <x:v>PETE_EXPLICIT</x:v>
      </x:c>
      <x:c r="G677" s="17" t="str">
        <x:v>UNREVIEWED</x:v>
      </x:c>
      <x:c r="H677" s="17" t="str"/>
      <x:c r="I677" s="17" t="str"/>
      <x:c r="J677" s="17" t="str"/>
      <x:c r="K677" s="17" t="str"/>
      <x:c r="L677" s="17" t="str"/>
      <x:c r="M677" s="17" t="str">
        <x:v>PENDING WHOLE-VIDEO REVIEW</x:v>
      </x:c>
      <x:c r="N677" s="15" t="n">
        <x:v>408</x:v>
      </x:c>
      <x:c r="O677" s="15" t="n">
        <x:v>2616</x:v>
      </x:c>
      <x:c r="P677" s="15" t="n">
        <x:v>731</x:v>
      </x:c>
      <x:c r="Q677" s="13" t="str">
        <x:v>NO_LARGE_TAIL_GAP</x:v>
      </x:c>
      <x:c r="R677" s="13" t="str"/>
      <x:c r="S677" s="16" t="n">
        <x:v>0</x:v>
      </x:c>
      <x:c r="T677" s="13" t="str">
        <x:v>2ad49e3e462e2b09ecd3d01dbedb0c60fa0efbabeea022489708d8327f4599a9</x:v>
      </x:c>
    </x:row>
    <x:row r="678" ht="15" hidden="0" customHeight="1">
      <x:c r="A678" s="13" t="str">
        <x:v>y4OaMlXLsJg</x:v>
      </x:c>
      <x:c r="B678" s="13" t="str">
        <x:v>How Think Through a Trade | Trading Seminar</x:v>
      </x:c>
      <x:c r="C678" s="14" t="d">
        <x:v>2015-04-22T00:00:00.000Z</x:v>
      </x:c>
      <x:c r="D678" s="18" t="e">
        <x:f>HYPERLINK("https://www.youtube.com/watch?v=y4OaMlXLsJg","Watch video")</x:f>
        <x:v>HYPERLINK is not implemented. linkLocation=https://www.youtube.com/watch?v=y4OaMlXLsJg, friendlyName=Watch video</x:v>
      </x:c>
      <x:c r="E678" s="18" t="e">
        <x:f>HYPERLINK("transcripts/y4OaMlXLsJg.html","Complete transcript")</x:f>
        <x:v>HYPERLINK is not implemented. linkLocation=transcripts/y4OaMlXLsJg.html, friendlyName=Complete transcript</x:v>
      </x:c>
      <x:c r="F678" s="13" t="str">
        <x:v>UNKNOWN_REQUIRES_REVIEW</x:v>
      </x:c>
      <x:c r="G678" s="17" t="str">
        <x:v>UNREVIEWED</x:v>
      </x:c>
      <x:c r="H678" s="17" t="str"/>
      <x:c r="I678" s="17" t="str"/>
      <x:c r="J678" s="17" t="str"/>
      <x:c r="K678" s="17" t="str"/>
      <x:c r="L678" s="17" t="str"/>
      <x:c r="M678" s="17" t="str">
        <x:v>PENDING WHOLE-VIDEO REVIEW</x:v>
      </x:c>
      <x:c r="N678" s="15" t="n">
        <x:v>74</x:v>
      </x:c>
      <x:c r="O678" s="15" t="n">
        <x:v>468</x:v>
      </x:c>
      <x:c r="P678" s="15" t="n">
        <x:v>128</x:v>
      </x:c>
      <x:c r="Q678" s="13" t="str">
        <x:v>NO_LARGE_TAIL_GAP</x:v>
      </x:c>
      <x:c r="R678" s="13" t="str"/>
      <x:c r="S678" s="16" t="n">
        <x:v>0</x:v>
      </x:c>
      <x:c r="T678" s="13" t="str">
        <x:v>50957361d3f2f069817883192234dc02285032739b907974f1e3c97926287c5d</x:v>
      </x:c>
    </x:row>
    <x:row r="679" ht="15" hidden="0" customHeight="1">
      <x:c r="A679" s="13" t="str">
        <x:v>yNPOrSEp-Eo</x:v>
      </x:c>
      <x:c r="B679" s="13" t="str">
        <x:v>HOT | RAI | BX | JPM | Stock Trading Strategy</x:v>
      </x:c>
      <x:c r="C679" s="14" t="d">
        <x:v>2015-05-07T00:00:00.000Z</x:v>
      </x:c>
      <x:c r="D679" s="18" t="e">
        <x:f>HYPERLINK("https://www.youtube.com/watch?v=yNPOrSEp-Eo","Watch video")</x:f>
        <x:v>HYPERLINK is not implemented. linkLocation=https://www.youtube.com/watch?v=yNPOrSEp-Eo, friendlyName=Watch video</x:v>
      </x:c>
      <x:c r="E679" s="18" t="e">
        <x:f>HYPERLINK("transcripts/yNPOrSEp-Eo.html","Complete transcript")</x:f>
        <x:v>HYPERLINK is not implemented. linkLocation=transcripts/yNPOrSEp-Eo.html, friendlyName=Complete transcript</x:v>
      </x:c>
      <x:c r="F679" s="13" t="str">
        <x:v>PETE_EXPLICIT</x:v>
      </x:c>
      <x:c r="G679" s="17" t="str">
        <x:v>UNREVIEWED</x:v>
      </x:c>
      <x:c r="H679" s="17" t="str"/>
      <x:c r="I679" s="17" t="str"/>
      <x:c r="J679" s="17" t="str"/>
      <x:c r="K679" s="17" t="str"/>
      <x:c r="L679" s="17" t="str"/>
      <x:c r="M679" s="17" t="str">
        <x:v>PENDING WHOLE-VIDEO REVIEW</x:v>
      </x:c>
      <x:c r="N679" s="15" t="n">
        <x:v>373</x:v>
      </x:c>
      <x:c r="O679" s="15" t="n">
        <x:v>2719</x:v>
      </x:c>
      <x:c r="P679" s="15" t="n">
        <x:v>753</x:v>
      </x:c>
      <x:c r="Q679" s="13" t="str">
        <x:v>NO_LARGE_TAIL_GAP</x:v>
      </x:c>
      <x:c r="R679" s="13" t="str"/>
      <x:c r="S679" s="16" t="n">
        <x:v>0</x:v>
      </x:c>
      <x:c r="T679" s="13" t="str">
        <x:v>c1e29a04d4f70586accc4083c3b40bfdb04f91f7aea0f25078e1b85e8611e105</x:v>
      </x:c>
    </x:row>
    <x:row r="680" ht="15" hidden="0" customHeight="1">
      <x:c r="A680" s="13" t="str">
        <x:v>yQ3_pT_FV8Q</x:v>
      </x:c>
      <x:c r="B680" s="13" t="str">
        <x:v>SNAP Stock Earnings  Best Stock Picks Today 7 21 20</x:v>
      </x:c>
      <x:c r="C680" s="14" t="d">
        <x:v>2020-07-21T00:00:00.000Z</x:v>
      </x:c>
      <x:c r="D680" s="18" t="e">
        <x:f>HYPERLINK("https://www.youtube.com/watch?v=yQ3_pT_FV8Q","Watch video")</x:f>
        <x:v>HYPERLINK is not implemented. linkLocation=https://www.youtube.com/watch?v=yQ3_pT_FV8Q, friendlyName=Watch video</x:v>
      </x:c>
      <x:c r="E680" s="18" t="e">
        <x:f>HYPERLINK("transcripts/yQ3_pT_FV8Q.html","Complete transcript")</x:f>
        <x:v>HYPERLINK is not implemented. linkLocation=transcripts/yQ3_pT_FV8Q.html, friendlyName=Complete transcript</x:v>
      </x:c>
      <x:c r="F680" s="13" t="str">
        <x:v>UNKNOWN_REQUIRES_REVIEW</x:v>
      </x:c>
      <x:c r="G680" s="17" t="str">
        <x:v>UNREVIEWED</x:v>
      </x:c>
      <x:c r="H680" s="17" t="str"/>
      <x:c r="I680" s="17" t="str"/>
      <x:c r="J680" s="17" t="str"/>
      <x:c r="K680" s="17" t="str"/>
      <x:c r="L680" s="17" t="str"/>
      <x:c r="M680" s="17" t="str">
        <x:v>PENDING WHOLE-VIDEO REVIEW</x:v>
      </x:c>
      <x:c r="N680" s="15" t="n">
        <x:v>401</x:v>
      </x:c>
      <x:c r="O680" s="15" t="n">
        <x:v>2873</x:v>
      </x:c>
      <x:c r="P680" s="15" t="n">
        <x:v>815</x:v>
      </x:c>
      <x:c r="Q680" s="13" t="str">
        <x:v>NO_LARGE_TAIL_GAP</x:v>
      </x:c>
      <x:c r="R680" s="13" t="str"/>
      <x:c r="S680" s="16" t="n">
        <x:v>0</x:v>
      </x:c>
      <x:c r="T680" s="13" t="str">
        <x:v>1a593c2970886d7501107de79e5f1852db8866467a809db425d35bf3ac6f997c</x:v>
      </x:c>
    </x:row>
    <x:row r="681" ht="15" hidden="0" customHeight="1">
      <x:c r="A681" s="13" t="str">
        <x:v>yTbsmY5pfkw</x:v>
      </x:c>
      <x:c r="B681" s="13" t="str">
        <x:v>Best Stock Picks Today 8-24-20 | FB Facebook Stock</x:v>
      </x:c>
      <x:c r="C681" s="14" t="d">
        <x:v>2020-08-24T00:00:00.000Z</x:v>
      </x:c>
      <x:c r="D681" s="18" t="e">
        <x:f>HYPERLINK("https://www.youtube.com/watch?v=yTbsmY5pfkw","Watch video")</x:f>
        <x:v>HYPERLINK is not implemented. linkLocation=https://www.youtube.com/watch?v=yTbsmY5pfkw, friendlyName=Watch video</x:v>
      </x:c>
      <x:c r="E681" s="18" t="e">
        <x:f>HYPERLINK("transcripts/yTbsmY5pfkw.html","Complete transcript")</x:f>
        <x:v>HYPERLINK is not implemented. linkLocation=transcripts/yTbsmY5pfkw.html, friendlyName=Complete transcript</x:v>
      </x:c>
      <x:c r="F681" s="13" t="str">
        <x:v>PETE_EXPLICIT</x:v>
      </x:c>
      <x:c r="G681" s="17" t="str">
        <x:v>UNREVIEWED</x:v>
      </x:c>
      <x:c r="H681" s="17" t="str"/>
      <x:c r="I681" s="17" t="str"/>
      <x:c r="J681" s="17" t="str"/>
      <x:c r="K681" s="17" t="str"/>
      <x:c r="L681" s="17" t="str"/>
      <x:c r="M681" s="17" t="str">
        <x:v>PENDING WHOLE-VIDEO REVIEW</x:v>
      </x:c>
      <x:c r="N681" s="15" t="n">
        <x:v>421</x:v>
      </x:c>
      <x:c r="O681" s="15" t="n">
        <x:v>2601</x:v>
      </x:c>
      <x:c r="P681" s="15" t="n">
        <x:v>741</x:v>
      </x:c>
      <x:c r="Q681" s="13" t="str">
        <x:v>NO_LARGE_TAIL_GAP</x:v>
      </x:c>
      <x:c r="R681" s="13" t="str"/>
      <x:c r="S681" s="16" t="n">
        <x:v>0</x:v>
      </x:c>
      <x:c r="T681" s="13" t="str">
        <x:v>47a97ada9c5927e888ebdfcf0885a265545d67f32c7f411cf98cb020d4d355c4</x:v>
      </x:c>
    </x:row>
    <x:row r="682" ht="15" hidden="0" customHeight="1">
      <x:c r="A682" s="13" t="str">
        <x:v>yVjaMsXmPZA</x:v>
      </x:c>
      <x:c r="B682" s="13" t="str">
        <x:v>Trading Strategies that Work | Stocks for Breakfast 3 5 20</x:v>
      </x:c>
      <x:c r="C682" s="14" t="d">
        <x:v>2020-03-05T00:00:00.000Z</x:v>
      </x:c>
      <x:c r="D682" s="18" t="e">
        <x:f>HYPERLINK("https://www.youtube.com/watch?v=yVjaMsXmPZA","Watch video")</x:f>
        <x:v>HYPERLINK is not implemented. linkLocation=https://www.youtube.com/watch?v=yVjaMsXmPZA, friendlyName=Watch video</x:v>
      </x:c>
      <x:c r="E682" s="18" t="e">
        <x:f>HYPERLINK("transcripts/yVjaMsXmPZA.html","Complete transcript")</x:f>
        <x:v>HYPERLINK is not implemented. linkLocation=transcripts/yVjaMsXmPZA.html, friendlyName=Complete transcript</x:v>
      </x:c>
      <x:c r="F682" s="13" t="str">
        <x:v>UNKNOWN_REQUIRES_REVIEW</x:v>
      </x:c>
      <x:c r="G682" s="17" t="str">
        <x:v>UNREVIEWED</x:v>
      </x:c>
      <x:c r="H682" s="17" t="str"/>
      <x:c r="I682" s="17" t="str"/>
      <x:c r="J682" s="17" t="str"/>
      <x:c r="K682" s="17" t="str"/>
      <x:c r="L682" s="17" t="str"/>
      <x:c r="M682" s="17" t="str">
        <x:v>PENDING WHOLE-VIDEO REVIEW</x:v>
      </x:c>
      <x:c r="N682" s="15" t="n">
        <x:v>741</x:v>
      </x:c>
      <x:c r="O682" s="15" t="n">
        <x:v>5389</x:v>
      </x:c>
      <x:c r="P682" s="15" t="n">
        <x:v>1582</x:v>
      </x:c>
      <x:c r="Q682" s="13" t="str">
        <x:v>NO_LARGE_TAIL_GAP</x:v>
      </x:c>
      <x:c r="R682" s="13" t="str"/>
      <x:c r="S682" s="16" t="n">
        <x:v>0</x:v>
      </x:c>
      <x:c r="T682" s="13" t="str">
        <x:v>9290ac3bade0c23c543c8a2fbf170b486c45e21d40a17f294c57540f07fabcb3</x:v>
      </x:c>
    </x:row>
    <x:row r="683" ht="15" hidden="0" customHeight="1">
      <x:c r="A683" s="13" t="str">
        <x:v>yXUiLBsa7I8</x:v>
      </x:c>
      <x:c r="B683" s="13" t="str">
        <x:v>11: Stock Market for Beginners: The Trading Process</x:v>
      </x:c>
      <x:c r="C683" s="14" t="d">
        <x:v>2022-11-01T00:00:00.000Z</x:v>
      </x:c>
      <x:c r="D683" s="18" t="e">
        <x:f>HYPERLINK("https://www.youtube.com/watch?v=yXUiLBsa7I8","Watch video")</x:f>
        <x:v>HYPERLINK is not implemented. linkLocation=https://www.youtube.com/watch?v=yXUiLBsa7I8, friendlyName=Watch video</x:v>
      </x:c>
      <x:c r="E683" s="18" t="e">
        <x:f>HYPERLINK("transcripts/yXUiLBsa7I8.html","Complete transcript")</x:f>
        <x:v>HYPERLINK is not implemented. linkLocation=transcripts/yXUiLBsa7I8.html, friendlyName=Complete transcript</x:v>
      </x:c>
      <x:c r="F683" s="13" t="str">
        <x:v>UNKNOWN_REQUIRES_REVIEW</x:v>
      </x:c>
      <x:c r="G683" s="17" t="str">
        <x:v>UNREVIEWED</x:v>
      </x:c>
      <x:c r="H683" s="17" t="str"/>
      <x:c r="I683" s="17" t="str"/>
      <x:c r="J683" s="17" t="str"/>
      <x:c r="K683" s="17" t="str"/>
      <x:c r="L683" s="17" t="str"/>
      <x:c r="M683" s="17" t="str">
        <x:v>PENDING WHOLE-VIDEO REVIEW</x:v>
      </x:c>
      <x:c r="N683" s="15" t="n">
        <x:v>80</x:v>
      </x:c>
      <x:c r="O683" s="15" t="n">
        <x:v>557</x:v>
      </x:c>
      <x:c r="P683" s="15" t="n">
        <x:v>155</x:v>
      </x:c>
      <x:c r="Q683" s="13" t="str">
        <x:v>NO_LARGE_TAIL_GAP</x:v>
      </x:c>
      <x:c r="R683" s="13" t="str"/>
      <x:c r="S683" s="16" t="n">
        <x:v>0</x:v>
      </x:c>
      <x:c r="T683" s="13" t="str">
        <x:v>e0bf1615d1418ee8d8576632c0f73777c1be21bbd7490171f88e021865f80279</x:v>
      </x:c>
    </x:row>
    <x:row r="684" ht="15" hidden="0" customHeight="1">
      <x:c r="A684" s="13" t="str">
        <x:v>ydZuCViuWyM</x:v>
      </x:c>
      <x:c r="B684" s="13" t="str">
        <x:v>Profit Taking Wisdom - Stocks for Breakfast</x:v>
      </x:c>
      <x:c r="C684" s="14" t="d">
        <x:v>2020-12-18T00:00:00.000Z</x:v>
      </x:c>
      <x:c r="D684" s="18" t="e">
        <x:f>HYPERLINK("https://www.youtube.com/watch?v=ydZuCViuWyM","Watch video")</x:f>
        <x:v>HYPERLINK is not implemented. linkLocation=https://www.youtube.com/watch?v=ydZuCViuWyM, friendlyName=Watch video</x:v>
      </x:c>
      <x:c r="E684" s="18" t="e">
        <x:f>HYPERLINK("transcripts/ydZuCViuWyM.html","Complete transcript")</x:f>
        <x:v>HYPERLINK is not implemented. linkLocation=transcripts/ydZuCViuWyM.html, friendlyName=Complete transcript</x:v>
      </x:c>
      <x:c r="F684" s="13" t="str">
        <x:v>PETE_EXPLICIT</x:v>
      </x:c>
      <x:c r="G684" s="17" t="str">
        <x:v>UNREVIEWED</x:v>
      </x:c>
      <x:c r="H684" s="17" t="str"/>
      <x:c r="I684" s="17" t="str"/>
      <x:c r="J684" s="17" t="str"/>
      <x:c r="K684" s="17" t="str"/>
      <x:c r="L684" s="17" t="str"/>
      <x:c r="M684" s="17" t="str">
        <x:v>PENDING WHOLE-VIDEO REVIEW</x:v>
      </x:c>
      <x:c r="N684" s="15" t="n">
        <x:v>395</x:v>
      </x:c>
      <x:c r="O684" s="15" t="n">
        <x:v>2552</x:v>
      </x:c>
      <x:c r="P684" s="15" t="n">
        <x:v>733</x:v>
      </x:c>
      <x:c r="Q684" s="13" t="str">
        <x:v>NO_LARGE_TAIL_GAP</x:v>
      </x:c>
      <x:c r="R684" s="13" t="str"/>
      <x:c r="S684" s="16" t="n">
        <x:v>0</x:v>
      </x:c>
      <x:c r="T684" s="13" t="str">
        <x:v>fffa41362a4c1c16a9c02a5e73ef8d85334dc0b5210cb9b57777cd8b446fc646</x:v>
      </x:c>
    </x:row>
    <x:row r="685" ht="15" hidden="0" customHeight="1">
      <x:c r="A685" s="13" t="str">
        <x:v>yipuWT6-TN0</x:v>
      </x:c>
      <x:c r="B685" s="13" t="str">
        <x:v>Facebook Earnings | Trading Game Plan April 22, 2015</x:v>
      </x:c>
      <x:c r="C685" s="14" t="d">
        <x:v>2015-04-22T00:00:00.000Z</x:v>
      </x:c>
      <x:c r="D685" s="18" t="e">
        <x:f>HYPERLINK("https://www.youtube.com/watch?v=yipuWT6-TN0","Watch video")</x:f>
        <x:v>HYPERLINK is not implemented. linkLocation=https://www.youtube.com/watch?v=yipuWT6-TN0, friendlyName=Watch video</x:v>
      </x:c>
      <x:c r="E685" s="18" t="e">
        <x:f>HYPERLINK("transcripts/yipuWT6-TN0.html","Complete transcript")</x:f>
        <x:v>HYPERLINK is not implemented. linkLocation=transcripts/yipuWT6-TN0.html, friendlyName=Complete transcript</x:v>
      </x:c>
      <x:c r="F685" s="13" t="str">
        <x:v>UNKNOWN_REQUIRES_REVIEW</x:v>
      </x:c>
      <x:c r="G685" s="17" t="str">
        <x:v>UNREVIEWED</x:v>
      </x:c>
      <x:c r="H685" s="17" t="str"/>
      <x:c r="I685" s="17" t="str"/>
      <x:c r="J685" s="17" t="str"/>
      <x:c r="K685" s="17" t="str"/>
      <x:c r="L685" s="17" t="str"/>
      <x:c r="M685" s="17" t="str">
        <x:v>PENDING WHOLE-VIDEO REVIEW</x:v>
      </x:c>
      <x:c r="N685" s="15" t="n">
        <x:v>444</x:v>
      </x:c>
      <x:c r="O685" s="15" t="n">
        <x:v>3182</x:v>
      </x:c>
      <x:c r="P685" s="15" t="n">
        <x:v>994</x:v>
      </x:c>
      <x:c r="Q685" s="13" t="str">
        <x:v>NO_LARGE_TAIL_GAP</x:v>
      </x:c>
      <x:c r="R685" s="13" t="str"/>
      <x:c r="S685" s="16" t="n">
        <x:v>0</x:v>
      </x:c>
      <x:c r="T685" s="13" t="str">
        <x:v>32d12161a61e5cd609b0dd464070fc7f172525bb00ae6f5fa34af010c7f92d27</x:v>
      </x:c>
    </x:row>
    <x:row r="686" ht="15" hidden="0" customHeight="1">
      <x:c r="A686" s="13" t="str">
        <x:v>z-SghnR-_4o</x:v>
      </x:c>
      <x:c r="B686" s="13" t="str">
        <x:v>GILD Gilead News 4-24-20 Stocks for Breakfast</x:v>
      </x:c>
      <x:c r="C686" s="14" t="d">
        <x:v>2020-04-27T00:00:00.000Z</x:v>
      </x:c>
      <x:c r="D686" s="18" t="e">
        <x:f>HYPERLINK("https://www.youtube.com/watch?v=z-SghnR-_4o","Watch video")</x:f>
        <x:v>HYPERLINK is not implemented. linkLocation=https://www.youtube.com/watch?v=z-SghnR-_4o, friendlyName=Watch video</x:v>
      </x:c>
      <x:c r="E686" s="18" t="e">
        <x:f>HYPERLINK("transcripts/z-SghnR-_4o.html","Complete transcript")</x:f>
        <x:v>HYPERLINK is not implemented. linkLocation=transcripts/z-SghnR-_4o.html, friendlyName=Complete transcript</x:v>
      </x:c>
      <x:c r="F686" s="13" t="str">
        <x:v>UNKNOWN_REQUIRES_REVIEW</x:v>
      </x:c>
      <x:c r="G686" s="17" t="str">
        <x:v>UNREVIEWED</x:v>
      </x:c>
      <x:c r="H686" s="17" t="str"/>
      <x:c r="I686" s="17" t="str"/>
      <x:c r="J686" s="17" t="str"/>
      <x:c r="K686" s="17" t="str"/>
      <x:c r="L686" s="17" t="str"/>
      <x:c r="M686" s="17" t="str">
        <x:v>PENDING WHOLE-VIDEO REVIEW</x:v>
      </x:c>
      <x:c r="N686" s="15" t="n">
        <x:v>928</x:v>
      </x:c>
      <x:c r="O686" s="15" t="n">
        <x:v>6756</x:v>
      </x:c>
      <x:c r="P686" s="15" t="n">
        <x:v>2091</x:v>
      </x:c>
      <x:c r="Q686" s="13" t="str">
        <x:v>NO_LARGE_TAIL_GAP</x:v>
      </x:c>
      <x:c r="R686" s="13" t="str"/>
      <x:c r="S686" s="16" t="n">
        <x:v>0</x:v>
      </x:c>
      <x:c r="T686" s="13" t="str">
        <x:v>07384435fddd3cc1b1eaf6ba506e902d71cfcfbf9e93441bf2ce319a21ae907e</x:v>
      </x:c>
    </x:row>
    <x:row r="687" ht="15" hidden="0" customHeight="1">
      <x:c r="A687" s="13" t="str">
        <x:v>z6UncvRGBFU</x:v>
      </x:c>
      <x:c r="B687" s="13" t="str">
        <x:v>Best Stock Picks Today | NKLA Swing Trade 9-9-20</x:v>
      </x:c>
      <x:c r="C687" s="14" t="d">
        <x:v>2020-09-09T00:00:00.000Z</x:v>
      </x:c>
      <x:c r="D687" s="18" t="e">
        <x:f>HYPERLINK("https://www.youtube.com/watch?v=z6UncvRGBFU","Watch video")</x:f>
        <x:v>HYPERLINK is not implemented. linkLocation=https://www.youtube.com/watch?v=z6UncvRGBFU, friendlyName=Watch video</x:v>
      </x:c>
      <x:c r="E687" s="18" t="e">
        <x:f>HYPERLINK("transcripts/z6UncvRGBFU.html","Complete transcript")</x:f>
        <x:v>HYPERLINK is not implemented. linkLocation=transcripts/z6UncvRGBFU.html, friendlyName=Complete transcript</x:v>
      </x:c>
      <x:c r="F687" s="13" t="str">
        <x:v>PETE_EXPLICIT</x:v>
      </x:c>
      <x:c r="G687" s="17" t="str">
        <x:v>UNREVIEWED</x:v>
      </x:c>
      <x:c r="H687" s="17" t="str"/>
      <x:c r="I687" s="17" t="str"/>
      <x:c r="J687" s="17" t="str"/>
      <x:c r="K687" s="17" t="str"/>
      <x:c r="L687" s="17" t="str"/>
      <x:c r="M687" s="17" t="str">
        <x:v>PENDING WHOLE-VIDEO REVIEW</x:v>
      </x:c>
      <x:c r="N687" s="15" t="n">
        <x:v>413</x:v>
      </x:c>
      <x:c r="O687" s="15" t="n">
        <x:v>2571</x:v>
      </x:c>
      <x:c r="P687" s="15" t="n">
        <x:v>746</x:v>
      </x:c>
      <x:c r="Q687" s="13" t="str">
        <x:v>NO_LARGE_TAIL_GAP</x:v>
      </x:c>
      <x:c r="R687" s="13" t="str"/>
      <x:c r="S687" s="16" t="n">
        <x:v>0</x:v>
      </x:c>
      <x:c r="T687" s="13" t="str">
        <x:v>dffff4fda391c6b93727f47c014f25ec1ea084e51721fe3bb85ad767ddf9619b</x:v>
      </x:c>
    </x:row>
    <x:row r="688" ht="15" hidden="0" customHeight="1">
      <x:c r="A688" s="13" t="str">
        <x:v>zCB2e0CVva4</x:v>
      </x:c>
      <x:c r="B688" s="13" t="str">
        <x:v>Trading Game Plan | Stocks for Breakfast</x:v>
      </x:c>
      <x:c r="C688" s="14" t="d">
        <x:v>2020-10-20T00:00:00.000Z</x:v>
      </x:c>
      <x:c r="D688" s="18" t="e">
        <x:f>HYPERLINK("https://www.youtube.com/watch?v=zCB2e0CVva4","Watch video")</x:f>
        <x:v>HYPERLINK is not implemented. linkLocation=https://www.youtube.com/watch?v=zCB2e0CVva4, friendlyName=Watch video</x:v>
      </x:c>
      <x:c r="E688" s="18" t="e">
        <x:f>HYPERLINK("transcripts/zCB2e0CVva4.html","Complete transcript")</x:f>
        <x:v>HYPERLINK is not implemented. linkLocation=transcripts/zCB2e0CVva4.html, friendlyName=Complete transcript</x:v>
      </x:c>
      <x:c r="F688" s="13" t="str">
        <x:v>PETE_EXPLICIT</x:v>
      </x:c>
      <x:c r="G688" s="17" t="str">
        <x:v>UNREVIEWED</x:v>
      </x:c>
      <x:c r="H688" s="17" t="str"/>
      <x:c r="I688" s="17" t="str"/>
      <x:c r="J688" s="17" t="str"/>
      <x:c r="K688" s="17" t="str"/>
      <x:c r="L688" s="17" t="str"/>
      <x:c r="M688" s="17" t="str">
        <x:v>PENDING WHOLE-VIDEO REVIEW</x:v>
      </x:c>
      <x:c r="N688" s="15" t="n">
        <x:v>416</x:v>
      </x:c>
      <x:c r="O688" s="15" t="n">
        <x:v>2533</x:v>
      </x:c>
      <x:c r="P688" s="15" t="n">
        <x:v>730</x:v>
      </x:c>
      <x:c r="Q688" s="13" t="str">
        <x:v>NO_LARGE_TAIL_GAP</x:v>
      </x:c>
      <x:c r="R688" s="13" t="str"/>
      <x:c r="S688" s="16" t="n">
        <x:v>0</x:v>
      </x:c>
      <x:c r="T688" s="13" t="str">
        <x:v>169defb4b9700b77e4ca528a2482ddc458829f1beab4ded6f5f5a5282bb5a58a</x:v>
      </x:c>
    </x:row>
    <x:row r="689" ht="15" hidden="0" customHeight="1">
      <x:c r="A689" s="13" t="str">
        <x:v>zD1h__TRIqo</x:v>
      </x:c>
      <x:c r="B689" s="13" t="str">
        <x:v>Stock Trading Lessons 4 2 20 Stocks for Breakfast</x:v>
      </x:c>
      <x:c r="C689" s="14" t="d">
        <x:v>2020-04-02T00:00:00.000Z</x:v>
      </x:c>
      <x:c r="D689" s="18" t="e">
        <x:f>HYPERLINK("https://www.youtube.com/watch?v=zD1h__TRIqo","Watch video")</x:f>
        <x:v>HYPERLINK is not implemented. linkLocation=https://www.youtube.com/watch?v=zD1h__TRIqo, friendlyName=Watch video</x:v>
      </x:c>
      <x:c r="E689" s="18" t="e">
        <x:f>HYPERLINK("transcripts/zD1h__TRIqo.html","Complete transcript")</x:f>
        <x:v>HYPERLINK is not implemented. linkLocation=transcripts/zD1h__TRIqo.html, friendlyName=Complete transcript</x:v>
      </x:c>
      <x:c r="F689" s="13" t="str">
        <x:v>UNKNOWN_REQUIRES_REVIEW</x:v>
      </x:c>
      <x:c r="G689" s="17" t="str">
        <x:v>UNREVIEWED</x:v>
      </x:c>
      <x:c r="H689" s="17" t="str"/>
      <x:c r="I689" s="17" t="str"/>
      <x:c r="J689" s="17" t="str"/>
      <x:c r="K689" s="17" t="str"/>
      <x:c r="L689" s="17" t="str"/>
      <x:c r="M689" s="17" t="str">
        <x:v>PENDING WHOLE-VIDEO REVIEW</x:v>
      </x:c>
      <x:c r="N689" s="15" t="n">
        <x:v>574</x:v>
      </x:c>
      <x:c r="O689" s="15" t="n">
        <x:v>4251</x:v>
      </x:c>
      <x:c r="P689" s="15" t="n">
        <x:v>1238</x:v>
      </x:c>
      <x:c r="Q689" s="13" t="str">
        <x:v>NO_LARGE_TAIL_GAP</x:v>
      </x:c>
      <x:c r="R689" s="13" t="str"/>
      <x:c r="S689" s="16" t="n">
        <x:v>0</x:v>
      </x:c>
      <x:c r="T689" s="13" t="str">
        <x:v>5c790d8d48b6b272d32de9763c1a22750c63b88ac0365811d5aed3d3277de4cd</x:v>
      </x:c>
    </x:row>
    <x:row r="690" ht="15" hidden="0" customHeight="1">
      <x:c r="A690" s="13" t="str">
        <x:v>zN4StD-GaAI</x:v>
      </x:c>
      <x:c r="B690" s="13" t="str">
        <x:v>60 Minute Day Trading Strategy for Beginners</x:v>
      </x:c>
      <x:c r="C690" s="14" t="d">
        <x:v>2021-04-21T00:00:00.000Z</x:v>
      </x:c>
      <x:c r="D690" s="18" t="e">
        <x:f>HYPERLINK("https://www.youtube.com/watch?v=zN4StD-GaAI","Watch video")</x:f>
        <x:v>HYPERLINK is not implemented. linkLocation=https://www.youtube.com/watch?v=zN4StD-GaAI, friendlyName=Watch video</x:v>
      </x:c>
      <x:c r="E690" s="18" t="e">
        <x:f>HYPERLINK("transcripts/zN4StD-GaAI.html","Complete transcript")</x:f>
        <x:v>HYPERLINK is not implemented. linkLocation=transcripts/zN4StD-GaAI.html, friendlyName=Complete transcript</x:v>
      </x:c>
      <x:c r="F690" s="13" t="str">
        <x:v>UNKNOWN_REQUIRES_REVIEW</x:v>
      </x:c>
      <x:c r="G690" s="17" t="str">
        <x:v>UNREVIEWED</x:v>
      </x:c>
      <x:c r="H690" s="17" t="str"/>
      <x:c r="I690" s="17" t="str"/>
      <x:c r="J690" s="17" t="str"/>
      <x:c r="K690" s="17" t="str"/>
      <x:c r="L690" s="17" t="str"/>
      <x:c r="M690" s="17" t="str">
        <x:v>PENDING WHOLE-VIDEO REVIEW</x:v>
      </x:c>
      <x:c r="N690" s="15" t="n">
        <x:v>122</x:v>
      </x:c>
      <x:c r="O690" s="15" t="n">
        <x:v>718</x:v>
      </x:c>
      <x:c r="P690" s="15" t="n">
        <x:v>238</x:v>
      </x:c>
      <x:c r="Q690" s="13" t="str">
        <x:v>NO_LARGE_TAIL_GAP</x:v>
      </x:c>
      <x:c r="R690" s="13" t="str"/>
      <x:c r="S690" s="16" t="n">
        <x:v>0</x:v>
      </x:c>
      <x:c r="T690" s="13" t="str">
        <x:v>3b9a49b0c6df7991d3f8b335e94681bacacd4c6e633f320529ab08dbaa35302c</x:v>
      </x:c>
    </x:row>
    <x:row r="691" ht="15" hidden="0" customHeight="1">
      <x:c r="A691" s="13" t="str">
        <x:v>zWCzLO4eq2s</x:v>
      </x:c>
      <x:c r="B691" s="13" t="str">
        <x:v>Day Trading Strategy | How to Trade with Conviction</x:v>
      </x:c>
      <x:c r="C691" s="14" t="d">
        <x:v>2015-04-21T00:00:00.000Z</x:v>
      </x:c>
      <x:c r="D691" s="18" t="e">
        <x:f>HYPERLINK("https://www.youtube.com/watch?v=zWCzLO4eq2s","Watch video")</x:f>
        <x:v>HYPERLINK is not implemented. linkLocation=https://www.youtube.com/watch?v=zWCzLO4eq2s, friendlyName=Watch video</x:v>
      </x:c>
      <x:c r="E691" s="18" t="e">
        <x:f>HYPERLINK("transcripts/zWCzLO4eq2s.html","Complete transcript")</x:f>
        <x:v>HYPERLINK is not implemented. linkLocation=transcripts/zWCzLO4eq2s.html, friendlyName=Complete transcript</x:v>
      </x:c>
      <x:c r="F691" s="13" t="str">
        <x:v>UNKNOWN_REQUIRES_REVIEW</x:v>
      </x:c>
      <x:c r="G691" s="17" t="str">
        <x:v>UNREVIEWED</x:v>
      </x:c>
      <x:c r="H691" s="17" t="str"/>
      <x:c r="I691" s="17" t="str"/>
      <x:c r="J691" s="17" t="str"/>
      <x:c r="K691" s="17" t="str"/>
      <x:c r="L691" s="17" t="str"/>
      <x:c r="M691" s="17" t="str">
        <x:v>PENDING WHOLE-VIDEO REVIEW</x:v>
      </x:c>
      <x:c r="N691" s="15" t="n">
        <x:v>205</x:v>
      </x:c>
      <x:c r="O691" s="15" t="n">
        <x:v>1459</x:v>
      </x:c>
      <x:c r="P691" s="15" t="n">
        <x:v>429</x:v>
      </x:c>
      <x:c r="Q691" s="13" t="str">
        <x:v>NO_LARGE_TAIL_GAP</x:v>
      </x:c>
      <x:c r="R691" s="13" t="str"/>
      <x:c r="S691" s="16" t="n">
        <x:v>0</x:v>
      </x:c>
      <x:c r="T691" s="13" t="str">
        <x:v>83d4f879a4a4c14bedd76673129187b70a6d83d7ec0cc4d7819828c75c980e94</x:v>
      </x:c>
    </x:row>
    <x:row r="692" ht="15" hidden="0" customHeight="1">
      <x:c r="A692" s="13" t="str">
        <x:v>zXJBfOT87io</x:v>
      </x:c>
      <x:c r="B692" s="13" t="str">
        <x:v>Stock Picking | Day Trading Lesson</x:v>
      </x:c>
      <x:c r="C692" s="14" t="d">
        <x:v>2018-11-13T00:00:00.000Z</x:v>
      </x:c>
      <x:c r="D692" s="18" t="e">
        <x:f>HYPERLINK("https://www.youtube.com/watch?v=zXJBfOT87io","Watch video")</x:f>
        <x:v>HYPERLINK is not implemented. linkLocation=https://www.youtube.com/watch?v=zXJBfOT87io, friendlyName=Watch video</x:v>
      </x:c>
      <x:c r="E692" s="18" t="e">
        <x:f>HYPERLINK("transcripts/zXJBfOT87io.html","Complete transcript")</x:f>
        <x:v>HYPERLINK is not implemented. linkLocation=transcripts/zXJBfOT87io.html, friendlyName=Complete transcript</x:v>
      </x:c>
      <x:c r="F692" s="13" t="str">
        <x:v>UNKNOWN_REQUIRES_REVIEW</x:v>
      </x:c>
      <x:c r="G692" s="17" t="str">
        <x:v>UNREVIEWED</x:v>
      </x:c>
      <x:c r="H692" s="17" t="str"/>
      <x:c r="I692" s="17" t="str"/>
      <x:c r="J692" s="17" t="str"/>
      <x:c r="K692" s="17" t="str"/>
      <x:c r="L692" s="17" t="str"/>
      <x:c r="M692" s="17" t="str">
        <x:v>PENDING WHOLE-VIDEO REVIEW</x:v>
      </x:c>
      <x:c r="N692" s="15" t="n">
        <x:v>189</x:v>
      </x:c>
      <x:c r="O692" s="15" t="n">
        <x:v>1410</x:v>
      </x:c>
      <x:c r="P692" s="15" t="n">
        <x:v>423</x:v>
      </x:c>
      <x:c r="Q692" s="13" t="str">
        <x:v>NO_LARGE_TAIL_GAP</x:v>
      </x:c>
      <x:c r="R692" s="13" t="str"/>
      <x:c r="S692" s="16" t="n">
        <x:v>0</x:v>
      </x:c>
      <x:c r="T692" s="13" t="str">
        <x:v>3574f41315457fec221d04aec4de21bd6727a81eed37ae47b5c8f0a8ae80127f</x:v>
      </x:c>
    </x:row>
    <x:row r="693" ht="15" hidden="0" customHeight="1">
      <x:c r="A693" s="13" t="str">
        <x:v>zfByw2FPLBM</x:v>
      </x:c>
      <x:c r="B693" s="13" t="str">
        <x:v>2: Stock Picks and Profit Targets</x:v>
      </x:c>
      <x:c r="C693" s="14" t="d">
        <x:v>2022-11-01T00:00:00.000Z</x:v>
      </x:c>
      <x:c r="D693" s="18" t="e">
        <x:f>HYPERLINK("https://www.youtube.com/watch?v=zfByw2FPLBM","Watch video")</x:f>
        <x:v>HYPERLINK is not implemented. linkLocation=https://www.youtube.com/watch?v=zfByw2FPLBM, friendlyName=Watch video</x:v>
      </x:c>
      <x:c r="E693" s="18" t="e">
        <x:f>HYPERLINK("transcripts/zfByw2FPLBM.html","Complete transcript")</x:f>
        <x:v>HYPERLINK is not implemented. linkLocation=transcripts/zfByw2FPLBM.html, friendlyName=Complete transcript</x:v>
      </x:c>
      <x:c r="F693" s="13" t="str">
        <x:v>UNKNOWN_REQUIRES_REVIEW</x:v>
      </x:c>
      <x:c r="G693" s="17" t="str">
        <x:v>UNREVIEWED</x:v>
      </x:c>
      <x:c r="H693" s="17" t="str"/>
      <x:c r="I693" s="17" t="str"/>
      <x:c r="J693" s="17" t="str"/>
      <x:c r="K693" s="17" t="str"/>
      <x:c r="L693" s="17" t="str"/>
      <x:c r="M693" s="17" t="str">
        <x:v>PENDING WHOLE-VIDEO REVIEW</x:v>
      </x:c>
      <x:c r="N693" s="15" t="n">
        <x:v>99</x:v>
      </x:c>
      <x:c r="O693" s="15" t="n">
        <x:v>688</x:v>
      </x:c>
      <x:c r="P693" s="15" t="n">
        <x:v>201</x:v>
      </x:c>
      <x:c r="Q693" s="13" t="str">
        <x:v>NO_LARGE_TAIL_GAP</x:v>
      </x:c>
      <x:c r="R693" s="13" t="str"/>
      <x:c r="S693" s="16" t="n">
        <x:v>0</x:v>
      </x:c>
      <x:c r="T693" s="13" t="str">
        <x:v>b1ef6873f5dfeaea9b83f84358e974db081866c5e3ff8fdfc8f55ff6c0882363</x:v>
      </x:c>
    </x:row>
    <x:row r="694" ht="15" hidden="0" customHeight="1">
      <x:c r="A694" s="13" t="str">
        <x:v>zfR6yE2vZIQ</x:v>
      </x:c>
      <x:c r="B694" s="13" t="str">
        <x:v>Trading Journal Mastery After the Market Close | Part 3 of 3</x:v>
      </x:c>
      <x:c r="C694" s="14" t="d">
        <x:v>2016-07-21T00:00:00.000Z</x:v>
      </x:c>
      <x:c r="D694" s="18" t="e">
        <x:f>HYPERLINK("https://www.youtube.com/watch?v=zfR6yE2vZIQ","Watch video")</x:f>
        <x:v>HYPERLINK is not implemented. linkLocation=https://www.youtube.com/watch?v=zfR6yE2vZIQ, friendlyName=Watch video</x:v>
      </x:c>
      <x:c r="E694" s="18" t="e">
        <x:f>HYPERLINK("transcripts/zfR6yE2vZIQ.html","Complete transcript")</x:f>
        <x:v>HYPERLINK is not implemented. linkLocation=transcripts/zfR6yE2vZIQ.html, friendlyName=Complete transcript</x:v>
      </x:c>
      <x:c r="F694" s="13" t="str">
        <x:v>UNKNOWN_REQUIRES_REVIEW</x:v>
      </x:c>
      <x:c r="G694" s="17" t="str">
        <x:v>UNREVIEWED</x:v>
      </x:c>
      <x:c r="H694" s="17" t="str"/>
      <x:c r="I694" s="17" t="str"/>
      <x:c r="J694" s="17" t="str"/>
      <x:c r="K694" s="17" t="str"/>
      <x:c r="L694" s="17" t="str"/>
      <x:c r="M694" s="17" t="str">
        <x:v>PENDING WHOLE-VIDEO REVIEW</x:v>
      </x:c>
      <x:c r="N694" s="15" t="n">
        <x:v>135</x:v>
      </x:c>
      <x:c r="O694" s="15" t="n">
        <x:v>1000</x:v>
      </x:c>
      <x:c r="P694" s="15" t="n">
        <x:v>275</x:v>
      </x:c>
      <x:c r="Q694" s="13" t="str">
        <x:v>NO_LARGE_TAIL_GAP</x:v>
      </x:c>
      <x:c r="R694" s="13" t="str"/>
      <x:c r="S694" s="16" t="n">
        <x:v>0</x:v>
      </x:c>
      <x:c r="T694" s="13" t="str">
        <x:v>7426341f349170c2a35937228e0b98eb76ad080d1dcdb0e0991c4f689b00848c</x:v>
      </x:c>
    </x:row>
    <x:row r="695" ht="15" hidden="0" customHeight="1">
      <x:c r="A695" s="13" t="str">
        <x:v>zng618jISVI</x:v>
      </x:c>
      <x:c r="B695" s="13" t="str">
        <x:v>RCL Royal Caribbean | Best Stock Picks Today 11-10-20</x:v>
      </x:c>
      <x:c r="C695" s="14" t="d">
        <x:v>2020-11-10T00:00:00.000Z</x:v>
      </x:c>
      <x:c r="D695" s="18" t="e">
        <x:f>HYPERLINK("https://www.youtube.com/watch?v=zng618jISVI","Watch video")</x:f>
        <x:v>HYPERLINK is not implemented. linkLocation=https://www.youtube.com/watch?v=zng618jISVI, friendlyName=Watch video</x:v>
      </x:c>
      <x:c r="E695" s="18" t="e">
        <x:f>HYPERLINK("transcripts/zng618jISVI.html","Complete transcript")</x:f>
        <x:v>HYPERLINK is not implemented. linkLocation=transcripts/zng618jISVI.html, friendlyName=Complete transcript</x:v>
      </x:c>
      <x:c r="F695" s="13" t="str">
        <x:v>PETE_EXPLICIT</x:v>
      </x:c>
      <x:c r="G695" s="17" t="str">
        <x:v>UNREVIEWED</x:v>
      </x:c>
      <x:c r="H695" s="17" t="str"/>
      <x:c r="I695" s="17" t="str"/>
      <x:c r="J695" s="17" t="str"/>
      <x:c r="K695" s="17" t="str"/>
      <x:c r="L695" s="17" t="str"/>
      <x:c r="M695" s="17" t="str">
        <x:v>PENDING WHOLE-VIDEO REVIEW</x:v>
      </x:c>
      <x:c r="N695" s="15" t="n">
        <x:v>408</x:v>
      </x:c>
      <x:c r="O695" s="15" t="n">
        <x:v>2512</x:v>
      </x:c>
      <x:c r="P695" s="15" t="n">
        <x:v>728</x:v>
      </x:c>
      <x:c r="Q695" s="13" t="str">
        <x:v>NO_LARGE_TAIL_GAP</x:v>
      </x:c>
      <x:c r="R695" s="13" t="str"/>
      <x:c r="S695" s="16" t="n">
        <x:v>0</x:v>
      </x:c>
      <x:c r="T695" s="13" t="str">
        <x:v>73b169da221dad8ee4be67edbc8602337c368b6c93fbad5ddddc18168e5fd110</x:v>
      </x:c>
    </x:row>
    <x:row r="696" ht="15" hidden="0" customHeight="1">
      <x:c r="A696" s="13" t="str">
        <x:v>zpP2hcTZR9w</x:v>
      </x:c>
      <x:c r="B696" s="13" t="str">
        <x:v>How to Build a List of Stocks to Trade</x:v>
      </x:c>
      <x:c r="C696" s="14" t="d">
        <x:v>2020-05-28T00:00:00.000Z</x:v>
      </x:c>
      <x:c r="D696" s="18" t="e">
        <x:f>HYPERLINK("https://www.youtube.com/watch?v=zpP2hcTZR9w","Watch video")</x:f>
        <x:v>HYPERLINK is not implemented. linkLocation=https://www.youtube.com/watch?v=zpP2hcTZR9w, friendlyName=Watch video</x:v>
      </x:c>
      <x:c r="E696" s="18" t="e">
        <x:f>HYPERLINK("transcripts/zpP2hcTZR9w.html","Complete transcript")</x:f>
        <x:v>HYPERLINK is not implemented. linkLocation=transcripts/zpP2hcTZR9w.html, friendlyName=Complete transcript</x:v>
      </x:c>
      <x:c r="F696" s="13" t="str">
        <x:v>PETE_EXPLICIT</x:v>
      </x:c>
      <x:c r="G696" s="17" t="str">
        <x:v>UNREVIEWED</x:v>
      </x:c>
      <x:c r="H696" s="17" t="str"/>
      <x:c r="I696" s="17" t="str"/>
      <x:c r="J696" s="17" t="str"/>
      <x:c r="K696" s="17" t="str"/>
      <x:c r="L696" s="17" t="str"/>
      <x:c r="M696" s="17" t="str">
        <x:v>PENDING WHOLE-VIDEO REVIEW</x:v>
      </x:c>
      <x:c r="N696" s="15" t="n">
        <x:v>613</x:v>
      </x:c>
      <x:c r="O696" s="15" t="n">
        <x:v>4472</x:v>
      </x:c>
      <x:c r="P696" s="15" t="n">
        <x:v>1343</x:v>
      </x:c>
      <x:c r="Q696" s="13" t="str">
        <x:v>NO_LARGE_TAIL_GAP</x:v>
      </x:c>
      <x:c r="R696" s="13" t="str"/>
      <x:c r="S696" s="16" t="n">
        <x:v>0</x:v>
      </x:c>
      <x:c r="T696" s="13" t="str">
        <x:v>c9650af89c8aaf47f41a8737776bba3714e344e5d5b97ff25b78df968d9de5bf</x:v>
      </x:c>
    </x:row>
  </x:sheetData>
  <x:conditionalFormatting sqref="M2:M696">
    <x:cfRule type="containsText" dxfId="1" priority="1" operator="containsText" text="PENDING"/>
  </x:conditionalFormatting>
  <x:dataValidations count="2">
    <x:dataValidation type="list" sqref="G2:G696">
      <x:formula1>"UNREVIEWED,Market update with teaching,Conversational Q&amp;A with teaching,Conversational chart review,Structured lesson excerpt,Course introduction / promotional,Seminar excerpt with teaching,Promotional / motivational,Full structured lesson,Mixed / needs review"</x:formula1>
    </x:dataValidation>
    <x:dataValidation type="list" sqref="M2:M696">
      <x:formula1>"PENDING WHOLE-VIDEO REVIEW,WHOLE TRANSCRIPT READ — visuals pending,WHOLE VIDEO REVIEWED,SOURCE UNAVAILABLE — documented"</x:formula1>
    </x:dataValidation>
  </x:dataValidations>
  <x:pageMargins left="0.7" right="0.7" top="0.75" bottom="0.75" header="0.3" footer="0.3"/>
  <x:tableParts count="1">
    <x:tablePart xmlns:r="http://schemas.openxmlformats.org/officeDocument/2006/relationships" r:id="Rb1cfcbc91b564d7d"/>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60" hidden="0" customWidth="1"/>
    <x:col min="4" max="4" width="18" hidden="0" customWidth="1"/>
    <x:col min="5" max="5" width="30" hidden="0" customWidth="1"/>
    <x:col min="6" max="6" width="85" hidden="0" customWidth="1"/>
    <x:col min="7" max="7" width="30" hidden="0" customWidth="1"/>
    <x:col min="8" max="8" width="45" hidden="0" customWidth="1"/>
    <x:col min="9" max="9" width="45" hidden="0" customWidth="1"/>
    <x:col min="10" max="10" width="18" hidden="0" customWidth="1"/>
    <x:col min="11" max="11" width="18" hidden="0" customWidth="1"/>
    <x:col min="12" max="12" width="110" hidden="0" customWidth="1"/>
    <x:col min="13" max="13" width="50" hidden="0" customWidth="1"/>
    <x:col min="14" max="14" width="40" hidden="0" customWidth="1"/>
    <x:col min="15" max="15" width="95" hidden="0" customWidth="1"/>
    <x:col min="16" max="16" width="50" hidden="0" customWidth="1"/>
    <x:col min="17" max="17" width="35" hidden="0" customWidth="1"/>
  </x:cols>
  <x:sheetData>
    <x:row r="1" ht="36" customHeight="1">
      <x:c r="A1" s="12" t="str">
        <x:v>claim_id</x:v>
      </x:c>
      <x:c r="B1" s="12" t="str">
        <x:v>video_id</x:v>
      </x:c>
      <x:c r="C1" s="12" t="str">
        <x:v>title</x:v>
      </x:c>
      <x:c r="D1" s="12" t="str">
        <x:v>upload_date</x:v>
      </x:c>
      <x:c r="E1" s="12" t="str">
        <x:v>semantic_type</x:v>
      </x:c>
      <x:c r="F1" s="12" t="str">
        <x:v>normalized_claim</x:v>
      </x:c>
      <x:c r="G1" s="12" t="str">
        <x:v>speaker_status</x:v>
      </x:c>
      <x:c r="H1" s="12" t="str">
        <x:v>pete_admission</x:v>
      </x:c>
      <x:c r="I1" s="12" t="str">
        <x:v>source_validation</x:v>
      </x:c>
      <x:c r="J1" s="12" t="str">
        <x:v>start</x:v>
      </x:c>
      <x:c r="K1" s="12" t="str">
        <x:v>end</x:v>
      </x:c>
      <x:c r="L1" s="12" t="str">
        <x:v>evidence_verbatim</x:v>
      </x:c>
      <x:c r="M1" s="12" t="str">
        <x:v>evidence_kind</x:v>
      </x:c>
      <x:c r="N1" s="12" t="str">
        <x:v>block_ids</x:v>
      </x:c>
      <x:c r="O1" s="12" t="str">
        <x:v>scope_notes</x:v>
      </x:c>
      <x:c r="P1" s="12" t="str">
        <x:v>url</x:v>
      </x:c>
      <x:c r="Q1" s="12" t="str">
        <x:v>original_artifact</x:v>
      </x:c>
    </x:row>
    <x:row r="2" ht="108" hidden="0" customHeight="1">
      <x:c r="A2" s="13" t="str">
        <x:v>SEM-0001</x:v>
      </x:c>
      <x:c r="B2" s="13" t="str">
        <x:v>HIJd3GixzsE</x:v>
      </x:c>
      <x:c r="C2" s="13" t="str">
        <x:v>Two Simple Secrets to Stock Trading Success?</x:v>
      </x:c>
      <x:c r="D2" s="13" t="str">
        <x:v>20220522</x:v>
      </x:c>
      <x:c r="E2" s="13" t="str">
        <x:v>process</x:v>
      </x:c>
      <x:c r="F2" s="13" t="str">
        <x:v>Scale back while a trade is moving against you rather than treating every position as all-in/all-out.</x:v>
      </x:c>
      <x:c r="G2" s="13" t="str">
        <x:v>PETE_EXPLICIT</x:v>
      </x:c>
      <x:c r="H2" s="13" t="str">
        <x:v>ELIGIBLE_VIDEO_SELF_IDENTIFICATION</x:v>
      </x:c>
      <x:c r="I2" s="13" t="str">
        <x:v>RECHECKED_AGAINST_SOURCE_THIS_RUN</x:v>
      </x:c>
      <x:c r="J2" s="13" t="str">
        <x:v>00:01:01.080</x:v>
      </x:c>
      <x:c r="K2" s="13" t="str">
        <x:v>00:02:19.350</x:v>
      </x:c>
      <x:c r="L2" s="13" t="str">
        <x:v>each trade. It's pretty exciting. Enjoy the video. Leave a comment below if you have any questions. Have an awesome day. I quite learn the art of trade management, scaling in, scaling out, real trading in addition to the app and to the academic side, okay? This is I think the most important part here, and this is really what I was trying to get across today. Here. Learning to scale back while the trade's going against you. And again, this is the There's This is where the trading part of it's not black and white. Scale out. You don't have to get out of the whole thing. I do this all day long in both day trades and swing trading positions. I'm like, all right, it's it it pulled back further than I want, but I still love the idea. So, I'll go from 1,000 to 200. Or I'll go from 500 to 100. I still want it in my position somewhere. Uh while maintaining smaller positions and adding back when it turns in your favor has been a monumental difference for me. And Guy, if you don't mind, um let's see, I stopped out of a large position on AFRM. I started to rebuild it so much more than either of us being Yeah, exactly. This is the thing. It's It's Everybody's like, "No, I'm all in. I'm all out." You know, it doesn't have to The market's fluid. So, and again, just a guy, I'm going to give you a little bit of props here cuz I I I had mentioned this trade a while back. Uh and this this is kind of more of the</x:v>
      </x:c>
      <x:c r="M2" s="13" t="str">
        <x:v>FULL_SOURCE_CONTEXT_NOT_ORIGINAL_EXCERPT</x:v>
      </x:c>
      <x:c r="N2" s="13" t="str">
        <x:v>B-03182 | B-03183 | B-03184</x:v>
      </x:c>
      <x:c r="O2" s="13" t="str">
        <x:v>Pete explicitly describes reducing size while keeping a smaller position when he still likes the idea, then adding back if the trade turns in his favor.</x:v>
      </x:c>
      <x:c r="P2" s="13" t="str">
        <x:v>https://www.youtube.com/watch?v=HIJd3GixzsE</x:v>
      </x:c>
      <x:c r="Q2" s="13" t="str">
        <x:v>Batch1</x:v>
      </x:c>
    </x:row>
    <x:row r="3" ht="108" hidden="0" customHeight="1">
      <x:c r="A3" s="13" t="str">
        <x:v>SEM-0002</x:v>
      </x:c>
      <x:c r="B3" s="13" t="str">
        <x:v>HIJd3GixzsE</x:v>
      </x:c>
      <x:c r="C3" s="13" t="str">
        <x:v>Two Simple Secrets to Stock Trading Success?</x:v>
      </x:c>
      <x:c r="D3" s="13" t="str">
        <x:v>20220522</x:v>
      </x:c>
      <x:c r="E3" s="13" t="str">
        <x:v>example_supporting_heuristic</x:v>
      </x:c>
      <x:c r="F3" s="13" t="str">
        <x:v>Adding to a swing position as it moves in the trader's favor is presented as desirable trade management when follow-through develops.</x:v>
      </x:c>
      <x:c r="G3" s="13" t="str">
        <x:v>PETE_EXPLICIT</x:v>
      </x:c>
      <x:c r="H3" s="13" t="str">
        <x:v>ELIGIBLE_VIDEO_SELF_IDENTIFICATION</x:v>
      </x:c>
      <x:c r="I3" s="13" t="str">
        <x:v>RECHECKED_AGAINST_SOURCE_THIS_RUN</x:v>
      </x:c>
      <x:c r="J3" s="13" t="str">
        <x:v>00:02:04.240</x:v>
      </x:c>
      <x:c r="K3" s="13" t="str">
        <x:v>00:03:23.830</x:v>
      </x:c>
      <x:c r="L3" s="13" t="str">
        <x:v>This is the thing. It's It's Everybody's like, "No, I'm all in. I'm all out." You know, it doesn't have to The market's fluid. So, and again, just a guy, I'm going to give you a little bit of props here cuz I I I had mentioned this trade a while back. Uh and this this is kind of more of the validation of it only takes one trade. Um guy is the one who took this EQT trade when we gave it landed down here in the 28 in the 28 area, and kept adding to it as it moved in its favor. So, again, on the swing trading side of things, it the same thing. It doesn't matter if it's a day trade that goes up 5% in in 1 hour, or swing trade that you finally nail after a couple that didn't follow through, this is the kind of follow through you get where the stock almost doubles and you have the right share size, it can turn into a really sweet trade. So, this is um this is some really good stuff. I would definitely screenshot this, everybody. This is This is the real stuff. This is what trading is all about. This is This is real trading. This is This is not page 275. Don't ever violate that, you know, that kind of thing. Um let's see, Richard's saying, um "How many stocks should we be in during the day?" That's That's completely based on your experience, Richard. Uh there's really no other way to put it. I encourage you to trade If we're talking day trading, Richard, if we're talking specifically day trades, I encourage you</x:v>
      </x:c>
      <x:c r="M3" s="13" t="str">
        <x:v>FULL_SOURCE_CONTEXT_NOT_ORIGINAL_EXCERPT</x:v>
      </x:c>
      <x:c r="N3" s="13" t="str">
        <x:v>B-03183 | B-03184 | B-03185</x:v>
      </x:c>
      <x:c r="O3" s="13" t="str">
        <x:v>Pete uses the EQT example approvingly, but this passage alone is an example, not a universal rule.</x:v>
      </x:c>
      <x:c r="P3" s="13" t="str">
        <x:v>https://www.youtube.com/watch?v=HIJd3GixzsE</x:v>
      </x:c>
      <x:c r="Q3" s="13" t="str">
        <x:v>Batch1</x:v>
      </x:c>
    </x:row>
    <x:row r="4" ht="96" hidden="0" customHeight="1">
      <x:c r="A4" s="13" t="str">
        <x:v>SEM-0003</x:v>
      </x:c>
      <x:c r="B4" s="13" t="str">
        <x:v>HIJd3GixzsE</x:v>
      </x:c>
      <x:c r="C4" s="13" t="str">
        <x:v>Two Simple Secrets to Stock Trading Success?</x:v>
      </x:c>
      <x:c r="D4" s="13" t="str">
        <x:v>20220522</x:v>
      </x:c>
      <x:c r="E4" s="13" t="str">
        <x:v>heuristic</x:v>
      </x:c>
      <x:c r="F4" s="13" t="str">
        <x:v>For day trading, Pete encourages trading more than one position once experience permits, partly to accelerate learning and allow an edge to play out across more trades.</x:v>
      </x:c>
      <x:c r="G4" s="13" t="str">
        <x:v>PETE_EXPLICIT</x:v>
      </x:c>
      <x:c r="H4" s="13" t="str">
        <x:v>ELIGIBLE_VIDEO_SELF_IDENTIFICATION</x:v>
      </x:c>
      <x:c r="I4" s="13" t="str">
        <x:v>RECHECKED_AGAINST_SOURCE_THIS_RUN</x:v>
      </x:c>
      <x:c r="J4" s="13" t="str">
        <x:v>00:03:07.120</x:v>
      </x:c>
      <x:c r="K4" s="13" t="str">
        <x:v>00:04:24.830</x:v>
      </x:c>
      <x:c r="L4" s="13" t="str">
        <x:v>um "How many stocks should we be in during the day?" That's That's completely based on your experience, Richard. Uh there's really no other way to put it. I encourage you to trade If we're talking day trading, Richard, if we're talking specifically day trades, I encourage you to trade more than one position. For For number one, you'll be managing now the two positions versus the one, where one might be in the money, the other one might be dancing around, and you're going to be tending to hold the one that's not moving against you, but not moving in your favor that much. But, the more important reason for trading more than one position is you are accelerating the speed number one, of learning and making decisions, but number two, you're accelerating the speed your edge playing itself out. And what I mean by that, and this is just basic math, if it's going to take 10 trades as a basic number to allow your trade to play itself out, the faster you can get to 10 good trades, the faster you're going to accelerate how fast you're going to make money, assuming you took 10 trades. So, if you're taking one trade today, and then one trade on Wednesday, and then one trade on Friday, there's nothing wrong with that, but you're at 30% of letting your edge play itself out. But if you're trading two</x:v>
      </x:c>
      <x:c r="M4" s="13" t="str">
        <x:v>FULL_SOURCE_CONTEXT_NOT_ORIGINAL_EXCERPT</x:v>
      </x:c>
      <x:c r="N4" s="13" t="str">
        <x:v>B-03184 | B-03185 | B-03186</x:v>
      </x:c>
      <x:c r="O4" s="13" t="str">
        <x:v>He explicitly conditions the answer on experience and on day trading.</x:v>
      </x:c>
      <x:c r="P4" s="13" t="str">
        <x:v>https://www.youtube.com/watch?v=HIJd3GixzsE</x:v>
      </x:c>
      <x:c r="Q4" s="13" t="str">
        <x:v>Batch1</x:v>
      </x:c>
    </x:row>
    <x:row r="5" ht="96" hidden="0" customHeight="1">
      <x:c r="A5" s="13" t="str">
        <x:v>SEM-0004</x:v>
      </x:c>
      <x:c r="B5" s="13" t="str">
        <x:v>HIJd3GixzsE</x:v>
      </x:c>
      <x:c r="C5" s="13" t="str">
        <x:v>Two Simple Secrets to Stock Trading Success?</x:v>
      </x:c>
      <x:c r="D5" s="13" t="str">
        <x:v>20220522</x:v>
      </x:c>
      <x:c r="E5" s="13" t="str">
        <x:v>conditional_rule</x:v>
      </x:c>
      <x:c r="F5" s="13" t="str">
        <x:v>Trading more should increase profits only when the trader has a positive edge and consistently follows that edge.</x:v>
      </x:c>
      <x:c r="G5" s="13" t="str">
        <x:v>PETE_EXPLICIT</x:v>
      </x:c>
      <x:c r="H5" s="13" t="str">
        <x:v>ELIGIBLE_VIDEO_SELF_IDENTIFICATION</x:v>
      </x:c>
      <x:c r="I5" s="13" t="str">
        <x:v>RECHECKED_AGAINST_SOURCE_THIS_RUN</x:v>
      </x:c>
      <x:c r="J5" s="13" t="str">
        <x:v>00:04:09.120</x:v>
      </x:c>
      <x:c r="K5" s="13" t="str">
        <x:v>00:05:26.430</x:v>
      </x:c>
      <x:c r="L5" s="13" t="str">
        <x:v>going to make money, assuming you took 10 trades. So, if you're taking one trade today, and then one trade on Wednesday, and then one trade on Friday, there's nothing wrong with that, but you're at 30% of letting your edge play itself out. But if you're trading two two good positions, and then the next day maybe you trade three good positions, you're getting to your you're allowing your edge to play itself out much faster. And that's why casinos don't have one table. There's no other way to put it. They have thousands of tables and thousands of machines because they're letting their 4% edge, or whatever that edge is, play itself out over thousands of trades. You will make and take this with context, please. Please take what I'm about to say within context. The more you trade, the more you will make, assuming you have an edge and assuming you follow the edge. So, you've got to put all three of those statements in there. Cuz the very definition of having an edge, the more you trade, the more you're going to make. That's the whole That's the whole point of expectancy ratios. Expectancy ratios are you make 150 or you lose 80. So, the math on this just it's a very simple uh breakdown here, but I'm I'm just going</x:v>
      </x:c>
      <x:c r="M5" s="13" t="str">
        <x:v>FULL_SOURCE_CONTEXT_NOT_ORIGINAL_EXCERPT</x:v>
      </x:c>
      <x:c r="N5" s="13" t="str">
        <x:v>B-03185 | B-03186 | B-03187</x:v>
      </x:c>
      <x:c r="O5" s="13" t="str">
        <x:v>Pete explicitly asks that the statement be taken in context and names both conditions.</x:v>
      </x:c>
      <x:c r="P5" s="13" t="str">
        <x:v>https://www.youtube.com/watch?v=HIJd3GixzsE</x:v>
      </x:c>
      <x:c r="Q5" s="13" t="str">
        <x:v>Batch1</x:v>
      </x:c>
    </x:row>
    <x:row r="6" ht="144" hidden="0" customHeight="1">
      <x:c r="A6" s="13" t="str">
        <x:v>SEM-0005</x:v>
      </x:c>
      <x:c r="B6" s="13" t="str">
        <x:v>HIJd3GixzsE</x:v>
      </x:c>
      <x:c r="C6" s="13" t="str">
        <x:v>Two Simple Secrets to Stock Trading Success?</x:v>
      </x:c>
      <x:c r="D6" s="13" t="str">
        <x:v>20220522</x:v>
      </x:c>
      <x:c r="E6" s="13" t="str">
        <x:v>definition_process</x:v>
      </x:c>
      <x:c r="F6" s="13" t="str">
        <x:v>Pete frames expectancy as the average net result per qualifying trade across winners and losers, and treats repeated valid trades as the mechanism by which the edge expresses itself.</x:v>
      </x:c>
      <x:c r="G6" s="13" t="str">
        <x:v>PETE_EXPLICIT</x:v>
      </x:c>
      <x:c r="H6" s="13" t="str">
        <x:v>ELIGIBLE_VIDEO_SELF_IDENTIFICATION</x:v>
      </x:c>
      <x:c r="I6" s="13" t="str">
        <x:v>RECHECKED_AGAINST_SOURCE_THIS_RUN</x:v>
      </x:c>
      <x:c r="J6" s="13" t="str">
        <x:v>00:05:11.120</x:v>
      </x:c>
      <x:c r="K6" s="13" t="str">
        <x:v>00:07:32.990</x:v>
      </x:c>
      <x:c r="L6" s="13" t="str">
        <x:v>ratios. Expectancy ratios are you make 150 or you lose 80. So, the math on this just it's a very simple uh breakdown here, but I'm I'm just going to keep this um high level, but it matters. So, let's say that all of the trades you took that match your criteria, all the winners combined you made 150, all the losers combined you lost 80. So, what does that mean? And this is really going to back up the statement that I just made before. This is going to be mind-blowing for some people. I'm going to pause for dramatic effect right now. Okay? So, if we can acknowledge that you may you made 50 trades in May, and these are your numbers. These are your real raw numbers. So, obviously these numbers can be much bigger or smaller, it doesn't matter. Let's say those are your real numbers. The expectancy ratio gets you to the point where you say, "Okay, no matter what trade I make, whether it's a winner or a loser, but if it matches my strategy, out of all of my trades, I know I'm going to I'm going to net $70 per I'm going to net $70 on average per trade." So, what does that imply? That implies if you make 10 trades, you'll make $700. That means if you make 100 trades, you'll make 7,000. If you make 1,000, the math just keeps getting bigger. That one part of today's call is worth every minute you're you're in our community. That is why professional traders trade their butt off because it's not about the one trade. It's about the bunch of trades that add up to the ROI. But when you add this into the equation, it's mind-blowing. It's literally mind-blowing in so many different ways because now it doesn't matter if the last trade made or lost money. The only especially doesn't matter if it lost money. Because the only thing that matters is did you keep the loss to what it was supposed to be based on your risk. If you do and improve what you make on your winners, then this number starts to increase. And then the more the more you trade,</x:v>
      </x:c>
      <x:c r="M6" s="13" t="str">
        <x:v>FULL_SOURCE_CONTEXT_NOT_ORIGINAL_EXCERPT</x:v>
      </x:c>
      <x:c r="N6" s="13" t="str">
        <x:v>B-03186 | B-03187 | B-03188 | B-03189</x:v>
      </x:c>
      <x:c r="O6" s="13" t="str">
        <x:v>The numerical example is illustrative; do not treat $70 as a general expectancy value.</x:v>
      </x:c>
      <x:c r="P6" s="13" t="str">
        <x:v>https://www.youtube.com/watch?v=HIJd3GixzsE</x:v>
      </x:c>
      <x:c r="Q6" s="13" t="str">
        <x:v>Batch1</x:v>
      </x:c>
    </x:row>
    <x:row r="7" ht="192" hidden="0" customHeight="1">
      <x:c r="A7" s="13" t="str">
        <x:v>SEM-0006</x:v>
      </x:c>
      <x:c r="B7" s="13" t="str">
        <x:v>HIJd3GixzsE</x:v>
      </x:c>
      <x:c r="C7" s="13" t="str">
        <x:v>Two Simple Secrets to Stock Trading Success?</x:v>
      </x:c>
      <x:c r="D7" s="13" t="str">
        <x:v>20220522</x:v>
      </x:c>
      <x:c r="E7" s="13" t="str">
        <x:v>risk_management_principle</x:v>
      </x:c>
      <x:c r="F7" s="13" t="str">
        <x:v>Judge a losing trade by whether the loss stayed within planned risk, while improving the amount captured from winners.</x:v>
      </x:c>
      <x:c r="G7" s="13" t="str">
        <x:v>PETE_EXPLICIT</x:v>
      </x:c>
      <x:c r="H7" s="13" t="str">
        <x:v>ELIGIBLE_VIDEO_SELF_IDENTIFICATION</x:v>
      </x:c>
      <x:c r="I7" s="13" t="str">
        <x:v>RECHECKED_AGAINST_SOURCE_THIS_RUN</x:v>
      </x:c>
      <x:c r="J7" s="13" t="str">
        <x:v>00:06:14.880</x:v>
      </x:c>
      <x:c r="K7" s="13" t="str">
        <x:v>00:09:15.720</x:v>
      </x:c>
      <x:c r="L7" s="13" t="str">
        <x:v>matches my strategy, out of all of my trades, I know I'm going to I'm going to net $70 per I'm going to net $70 on average per trade." So, what does that imply? That implies if you make 10 trades, you'll make $700. That means if you make 100 trades, you'll make 7,000. If you make 1,000, the math just keeps getting bigger. That one part of today's call is worth every minute you're you're in our community. That is why professional traders trade their butt off because it's not about the one trade. It's about the bunch of trades that add up to the ROI. But when you add this into the equation, it's mind-blowing. It's literally mind-blowing in so many different ways because now it doesn't matter if the last trade made or lost money. The only especially doesn't matter if it lost money. Because the only thing that matters is did you keep the loss to what it was supposed to be based on your risk. If you do and improve what you make on your winners, then this number starts to increase. And then the more the more you trade, the more you make. That's professional that's real trading. Raise your hand if that's mind-blowing. Because this is really the foundation of everything do. Because when you keep your losses small, learn how to make more in your winners, you get an average of what you make per trade combining all of the winners and losers. And if this number is positive, that literally means the more you trade, the more you're going to make. So getting back to the point about how many open positions should I have? Well, it depends. How much can you Are you positive yet? And how much Are you only taking good trades? That one section of what we just talked about, when I I'd learned that, completely changed everything. Because it it took all of the negative emotions out of a losing trade, because it didn't matter anymore trade by trade. My new goal was find great ideas, cut my losses, and continue to learn how to make more of my winners, so that this part of the equation gets skewed, so this part of the equation grows, because this part of the equation is capped. That's mind-blowing when you really when you really let that sink in. And again, I'm going to say this in context, when you understand that and get this number to positive, it literally comes down to the more you trade, the more you'll make. Literally, not even figuratively. Not hypothetically. Literally, because you have the raw data to back it up. That's mind-blowing. When I learned that, it instantly said, "Cut your loss Take every trade, cut your losses, learn how to hold the winners." In a heartbeat, everything changed. In a heartbeat.</x:v>
      </x:c>
      <x:c r="M7" s="13" t="str">
        <x:v>FULL_SOURCE_CONTEXT_NOT_ORIGINAL_EXCERPT</x:v>
      </x:c>
      <x:c r="N7" s="13" t="str">
        <x:v>B-03187 | B-03188 | B-03189 | B-03190</x:v>
      </x:c>
      <x:c r="O7" s="13" t="str">
        <x:v>Pete explicitly shifts focus away from the outcome of one trade toward controlled losses and larger winners.</x:v>
      </x:c>
      <x:c r="P7" s="13" t="str">
        <x:v>https://www.youtube.com/watch?v=HIJd3GixzsE</x:v>
      </x:c>
      <x:c r="Q7" s="13" t="str">
        <x:v>Batch1</x:v>
      </x:c>
    </x:row>
    <x:row r="8" ht="60" hidden="0" customHeight="1">
      <x:c r="A8" s="13" t="str">
        <x:v>SEM-0007</x:v>
      </x:c>
      <x:c r="B8" s="13" t="str">
        <x:v>HIJd3GixzsE</x:v>
      </x:c>
      <x:c r="C8" s="13" t="str">
        <x:v>Two Simple Secrets to Stock Trading Success?</x:v>
      </x:c>
      <x:c r="D8" s="13" t="str">
        <x:v>20220522</x:v>
      </x:c>
      <x:c r="E8" s="13" t="str">
        <x:v>process</x:v>
      </x:c>
      <x:c r="F8" s="13" t="str">
        <x:v>Pete's distilled process is to take valid trades, cut losses, and learn to hold winners.</x:v>
      </x:c>
      <x:c r="G8" s="13" t="str">
        <x:v>PETE_EXPLICIT</x:v>
      </x:c>
      <x:c r="H8" s="13" t="str">
        <x:v>ELIGIBLE_VIDEO_SELF_IDENTIFICATION</x:v>
      </x:c>
      <x:c r="I8" s="13" t="str">
        <x:v>RECHECKED_AGAINST_SOURCE_THIS_RUN</x:v>
      </x:c>
      <x:c r="J8" s="13" t="str">
        <x:v>00:08:17.960</x:v>
      </x:c>
      <x:c r="K8" s="13" t="str">
        <x:v>00:09:15.720</x:v>
      </x:c>
      <x:c r="L8" s="13" t="str">
        <x:v>matter anymore trade by trade. My new goal was find great ideas, cut my losses, and continue to learn how to make more of my winners, so that this part of the equation gets skewed, so this part of the equation grows, because this part of the equation is capped. That's mind-blowing when you really when you really let that sink in. And again, I'm going to say this in context, when you understand that and get this number to positive, it literally comes down to the more you trade, the more you'll make. Literally, not even figuratively. Not hypothetically. Literally, because you have the raw data to back it up. That's mind-blowing. When I learned that, it instantly said, "Cut your loss Take every trade, cut your losses, learn how to hold the winners." In a heartbeat, everything changed. In a heartbeat.</x:v>
      </x:c>
      <x:c r="M8" s="13" t="str">
        <x:v>FULL_SOURCE_CONTEXT_NOT_ORIGINAL_EXCERPT</x:v>
      </x:c>
      <x:c r="N8" s="13" t="str">
        <x:v>B-03189 | B-03190</x:v>
      </x:c>
      <x:c r="O8" s="13" t="str">
        <x:v>Direct retrospective statement about what changed his trading.</x:v>
      </x:c>
      <x:c r="P8" s="13" t="str">
        <x:v>https://www.youtube.com/watch?v=HIJd3GixzsE</x:v>
      </x:c>
      <x:c r="Q8" s="13" t="str">
        <x:v>Batch1</x:v>
      </x:c>
    </x:row>
    <x:row r="9" ht="108" hidden="0" customHeight="1">
      <x:c r="A9" s="13" t="str">
        <x:v>SEM-0008</x:v>
      </x:c>
      <x:c r="B9" s="13" t="str">
        <x:v>-aLSiEugS1A</x:v>
      </x:c>
      <x:c r="C9" s="13" t="str">
        <x:v>Stock Trading Pro Tip: Check Earnings</x:v>
      </x:c>
      <x:c r="D9" s="13" t="str">
        <x:v>20230302</x:v>
      </x:c>
      <x:c r="E9" s="13" t="str">
        <x:v>warning</x:v>
      </x:c>
      <x:c r="F9" s="13" t="str">
        <x:v>Know the earnings schedule for any stock before entering it.</x:v>
      </x:c>
      <x:c r="G9" s="13" t="str">
        <x:v>UNKNOWN_REQUIRES_REVIEW</x:v>
      </x:c>
      <x:c r="H9" s="13" t="str">
        <x:v>WITHHELD_UNKNOWN_SPEAKER</x:v>
      </x:c>
      <x:c r="I9" s="13" t="str">
        <x:v>RECHECKED_AGAINST_SOURCE_THIS_RUN</x:v>
      </x:c>
      <x:c r="J9" s="13" t="str">
        <x:v>00:00:00.000</x:v>
      </x:c>
      <x:c r="K9" s="13" t="str">
        <x:v>00:01:15.590</x:v>
      </x:c>
      <x:c r="L9" s="13" t="str">
        <x:v>right the simple pattern always leads to a nice move right be sure to watch it this week big thing here though very important I'm going to actually highlight this because it's super super important is know your earnings for any stock you're getting into it looks like it has earnings schedule for this week but this is the pattern that we're talking about you get this massive volatility Spike and then it gets Tighter and Tighter and Tighter and Tighter and then coming at us now it might be because earnings is coming up it might just be a technical pattern that's waiting to explode again this stock should be in your watch list as something to keep an eye on this week especially after earnings now we get a lot of questions about uh trading earn to earnings should I trade before earnings should I trade after earnings if I have it during earnings should I add what should I do that kind of stuff I personally in our community find it much easier to walk people through trading earnings after the earnings comes out usually you'll get a drift or a echo in the direction of the earnings for a couple of weeks and it just becomes a much easier trade than waiting for the earnings to come out guessing whether or not the expectations are going to be beat how the algorithms are going to interpret that when we can just kind of sit back again have a nice cup of coffee and uh wait for the earnings to come out let the diet let everything get digested and then you have a line in the sand if you're not sure what I mean</x:v>
      </x:c>
      <x:c r="M9" s="13" t="str">
        <x:v>FULL_SOURCE_CONTEXT_NOT_ORIGINAL_EXCERPT</x:v>
      </x:c>
      <x:c r="N9" s="13" t="str">
        <x:v>B-00017 | B-00018</x:v>
      </x:c>
      <x:c r="O9" s="13" t="str">
        <x:v>Clear direct instruction, but speaker attribution is not yet independently confirmed, so it is not yet admitted as a Pete claim.</x:v>
      </x:c>
      <x:c r="P9" s="13" t="str">
        <x:v>https://www.youtube.com/watch?v=-aLSiEugS1A</x:v>
      </x:c>
      <x:c r="Q9" s="13" t="str">
        <x:v>Batch1</x:v>
      </x:c>
    </x:row>
    <x:row r="10" ht="108" hidden="0" customHeight="1">
      <x:c r="A10" s="13" t="str">
        <x:v>SEM-0009</x:v>
      </x:c>
      <x:c r="B10" s="13" t="str">
        <x:v>-aLSiEugS1A</x:v>
      </x:c>
      <x:c r="C10" s="13" t="str">
        <x:v>Stock Trading Pro Tip: Check Earnings</x:v>
      </x:c>
      <x:c r="D10" s="13" t="str">
        <x:v>20230302</x:v>
      </x:c>
      <x:c r="E10" s="13" t="str">
        <x:v>preference_with_rationale</x:v>
      </x:c>
      <x:c r="F10" s="13" t="str">
        <x:v>The speaker prefers teaching/trading earnings after the release rather than guessing beforehand because the post-release direction is easier to work with.</x:v>
      </x:c>
      <x:c r="G10" s="13" t="str">
        <x:v>UNKNOWN_REQUIRES_REVIEW</x:v>
      </x:c>
      <x:c r="H10" s="13" t="str">
        <x:v>WITHHELD_UNKNOWN_SPEAKER</x:v>
      </x:c>
      <x:c r="I10" s="13" t="str">
        <x:v>RECHECKED_AGAINST_SOURCE_THIS_RUN</x:v>
      </x:c>
      <x:c r="J10" s="13" t="str">
        <x:v>00:00:00.000</x:v>
      </x:c>
      <x:c r="K10" s="13" t="str">
        <x:v>00:01:15.590</x:v>
      </x:c>
      <x:c r="L10" s="13" t="str">
        <x:v>right the simple pattern always leads to a nice move right be sure to watch it this week big thing here though very important I'm going to actually highlight this because it's super super important is know your earnings for any stock you're getting into it looks like it has earnings schedule for this week but this is the pattern that we're talking about you get this massive volatility Spike and then it gets Tighter and Tighter and Tighter and Tighter and then coming at us now it might be because earnings is coming up it might just be a technical pattern that's waiting to explode again this stock should be in your watch list as something to keep an eye on this week especially after earnings now we get a lot of questions about uh trading earn to earnings should I trade before earnings should I trade after earnings if I have it during earnings should I add what should I do that kind of stuff I personally in our community find it much easier to walk people through trading earnings after the earnings comes out usually you'll get a drift or a echo in the direction of the earnings for a couple of weeks and it just becomes a much easier trade than waiting for the earnings to come out guessing whether or not the expectations are going to be beat how the algorithms are going to interpret that when we can just kind of sit back again have a nice cup of coffee and uh wait for the earnings to come out let the diet let everything get digested and then you have a line in the sand if you're not sure what I mean</x:v>
      </x:c>
      <x:c r="M10" s="13" t="str">
        <x:v>FULL_SOURCE_CONTEXT_NOT_ORIGINAL_EXCERPT</x:v>
      </x:c>
      <x:c r="N10" s="13" t="str">
        <x:v>B-00017 | B-00018</x:v>
      </x:c>
      <x:c r="O10" s="13" t="str">
        <x:v>Explicitly framed as a personal/community preference, not a universal prohibition on pre-earnings trading.</x:v>
      </x:c>
      <x:c r="P10" s="13" t="str">
        <x:v>https://www.youtube.com/watch?v=-aLSiEugS1A</x:v>
      </x:c>
      <x:c r="Q10" s="13" t="str">
        <x:v>Batch1</x:v>
      </x:c>
    </x:row>
    <x:row r="11" ht="156" hidden="0" customHeight="1">
      <x:c r="A11" s="13" t="str">
        <x:v>SEM-0010</x:v>
      </x:c>
      <x:c r="B11" s="13" t="str">
        <x:v>-aLSiEugS1A</x:v>
      </x:c>
      <x:c r="C11" s="13" t="str">
        <x:v>Stock Trading Pro Tip: Check Earnings</x:v>
      </x:c>
      <x:c r="D11" s="13" t="str">
        <x:v>20230302</x:v>
      </x:c>
      <x:c r="E11" s="13" t="str">
        <x:v>observation</x:v>
      </x:c>
      <x:c r="F11" s="13" t="str">
        <x:v>After earnings, the speaker expects a directional drift or echo that can persist for a couple of weeks and provide a clearer line in the sand.</x:v>
      </x:c>
      <x:c r="G11" s="13" t="str">
        <x:v>UNKNOWN_REQUIRES_REVIEW</x:v>
      </x:c>
      <x:c r="H11" s="13" t="str">
        <x:v>WITHHELD_UNKNOWN_SPEAKER</x:v>
      </x:c>
      <x:c r="I11" s="13" t="str">
        <x:v>RECHECKED_AGAINST_SOURCE_THIS_RUN</x:v>
      </x:c>
      <x:c r="J11" s="13" t="str">
        <x:v>00:00:00.000</x:v>
      </x:c>
      <x:c r="K11" s="13" t="str">
        <x:v>00:01:48.560</x:v>
      </x:c>
      <x:c r="L11" s="13" t="str">
        <x:v>right the simple pattern always leads to a nice move right be sure to watch it this week big thing here though very important I'm going to actually highlight this because it's super super important is know your earnings for any stock you're getting into it looks like it has earnings schedule for this week but this is the pattern that we're talking about you get this massive volatility Spike and then it gets Tighter and Tighter and Tighter and Tighter and then coming at us now it might be because earnings is coming up it might just be a technical pattern that's waiting to explode again this stock should be in your watch list as something to keep an eye on this week especially after earnings now we get a lot of questions about uh trading earn to earnings should I trade before earnings should I trade after earnings if I have it during earnings should I add what should I do that kind of stuff I personally in our community find it much easier to walk people through trading earnings after the earnings comes out usually you'll get a drift or a echo in the direction of the earnings for a couple of weeks and it just becomes a much easier trade than waiting for the earnings to come out guessing whether or not the expectations are going to be beat how the algorithms are going to interpret that when we can just kind of sit back again have a nice cup of coffee and uh wait for the earnings to come out let the diet let everything get digested and then you have a line in the sand if you're not sure what I mean by Line in the Sand I explained that in today's daily Ticker as well so again you could download that below the video so AI the stock AI has earnings coming up and this contraction and volatility both of those catalysts should lead to the stock being a really really nice move so if this stock and earnings are bullish and we start to see a rally the last significant move in this stock the stock almost doubled and obviously AI is a very very hot topic right now so something that is going to be a big part of my watch list this week</x:v>
      </x:c>
      <x:c r="M11" s="13" t="str">
        <x:v>FULL_SOURCE_CONTEXT_NOT_ORIGINAL_EXCERPT</x:v>
      </x:c>
      <x:c r="N11" s="13" t="str">
        <x:v>B-00017 | B-00018</x:v>
      </x:c>
      <x:c r="O11" s="13" t="str">
        <x:v>This is an asserted market observation and later needs empirical testing; it is not accepted as fact by the research pipeline.</x:v>
      </x:c>
      <x:c r="P11" s="13" t="str">
        <x:v>https://www.youtube.com/watch?v=-aLSiEugS1A</x:v>
      </x:c>
      <x:c r="Q11" s="13" t="str">
        <x:v>Batch1</x:v>
      </x:c>
    </x:row>
    <x:row r="12" ht="96" hidden="0" customHeight="1">
      <x:c r="A12" s="13" t="str">
        <x:v>SEM-0011</x:v>
      </x:c>
      <x:c r="B12" s="13" t="str">
        <x:v>TCgYwLuITAI</x:v>
      </x:c>
      <x:c r="C12" s="13" t="str">
        <x:v>Stock Market Course: Intro to Trading Stocks</x:v>
      </x:c>
      <x:c r="D12" s="13" t="str">
        <x:v>20221101</x:v>
      </x:c>
      <x:c r="E12" s="13" t="str">
        <x:v>process</x:v>
      </x:c>
      <x:c r="F12" s="13" t="str">
        <x:v>Pete orders the pre-trade learning process as mindset, risk, edge/probability, then entries and exits.</x:v>
      </x:c>
      <x:c r="G12" s="13" t="str">
        <x:v>PETE_EXPLICIT</x:v>
      </x:c>
      <x:c r="H12" s="13" t="str">
        <x:v>ELIGIBLE_VIDEO_SELF_IDENTIFICATION</x:v>
      </x:c>
      <x:c r="I12" s="13" t="str">
        <x:v>RECHECKED_AGAINST_SOURCE_THIS_RUN</x:v>
      </x:c>
      <x:c r="J12" s="13" t="str">
        <x:v>00:00:59.399</x:v>
      </x:c>
      <x:c r="K12" s="13" t="str">
        <x:v>00:02:17.690</x:v>
      </x:c>
      <x:c r="L12" s="13" t="str">
        <x:v>consider and they're they're very simple and here's the thing that I want to get across you the actual part of trading is the easiest part the everybody puts so much stress on buying and selling and that kind of stuff but what I'm going to walk you through right now is what happens before you even decide to buy a stock if you do this part first which is incredibly incredibly simple which is first mindset just second is is deciding on risk and then the third set is your Edge so first you have to think like a champion second you have to understand what it means to put your money In Harm's Way so if we want the stock market to make us money we have to understand that there's risk and there's rewards so we're going to talk about that in a minute as well then we're going to talk about why you should put your money In Harm's Way and we call that having an edge or in other words probabilities of it moving in your favor and then the last part is we're going to talk about entries and exits and that's probably the part that most people jump to First is like just tell me where to get in just tell me where to get out and that's great you'll actually be able to mimic somebody like myself but we don't do things that way what we try and do is we show you exactly what</x:v>
      </x:c>
      <x:c r="M12" s="13" t="str">
        <x:v>FULL_SOURCE_CONTEXT_NOT_ORIGINAL_EXCERPT</x:v>
      </x:c>
      <x:c r="N12" s="13" t="str">
        <x:v>B-05120 | B-05121 | B-05122</x:v>
      </x:c>
      <x:c r="O12" s="13" t="str">
        <x:v>He explicitly contrasts this with beginners jumping straight to entries/exits.</x:v>
      </x:c>
      <x:c r="P12" s="13" t="str">
        <x:v>https://www.youtube.com/watch?v=TCgYwLuITAI</x:v>
      </x:c>
      <x:c r="Q12" s="13" t="str">
        <x:v>Batch1</x:v>
      </x:c>
    </x:row>
    <x:row r="13" ht="96" hidden="0" customHeight="1">
      <x:c r="A13" s="13" t="str">
        <x:v>SEM-0012</x:v>
      </x:c>
      <x:c r="B13" s="13" t="str">
        <x:v>TCgYwLuITAI</x:v>
      </x:c>
      <x:c r="C13" s="13" t="str">
        <x:v>Stock Market Course: Intro to Trading Stocks</x:v>
      </x:c>
      <x:c r="D13" s="13" t="str">
        <x:v>20221101</x:v>
      </x:c>
      <x:c r="E13" s="13" t="str">
        <x:v>definition</x:v>
      </x:c>
      <x:c r="F13" s="13" t="str">
        <x:v>Pete defines an edge as probabilities of the trade moving in the trader's favor.</x:v>
      </x:c>
      <x:c r="G13" s="13" t="str">
        <x:v>PETE_EXPLICIT</x:v>
      </x:c>
      <x:c r="H13" s="13" t="str">
        <x:v>ELIGIBLE_VIDEO_SELF_IDENTIFICATION</x:v>
      </x:c>
      <x:c r="I13" s="13" t="str">
        <x:v>RECHECKED_AGAINST_SOURCE_THIS_RUN</x:v>
      </x:c>
      <x:c r="J13" s="13" t="str">
        <x:v>00:00:59.399</x:v>
      </x:c>
      <x:c r="K13" s="13" t="str">
        <x:v>00:02:17.690</x:v>
      </x:c>
      <x:c r="L13" s="13" t="str">
        <x:v>consider and they're they're very simple and here's the thing that I want to get across you the actual part of trading is the easiest part the everybody puts so much stress on buying and selling and that kind of stuff but what I'm going to walk you through right now is what happens before you even decide to buy a stock if you do this part first which is incredibly incredibly simple which is first mindset just second is is deciding on risk and then the third set is your Edge so first you have to think like a champion second you have to understand what it means to put your money In Harm's Way so if we want the stock market to make us money we have to understand that there's risk and there's rewards so we're going to talk about that in a minute as well then we're going to talk about why you should put your money In Harm's Way and we call that having an edge or in other words probabilities of it moving in your favor and then the last part is we're going to talk about entries and exits and that's probably the part that most people jump to First is like just tell me where to get in just tell me where to get out and that's great you'll actually be able to mimic somebody like myself but we don't do things that way what we try and do is we show you exactly what</x:v>
      </x:c>
      <x:c r="M13" s="13" t="str">
        <x:v>FULL_SOURCE_CONTEXT_NOT_ORIGINAL_EXCERPT</x:v>
      </x:c>
      <x:c r="N13" s="13" t="str">
        <x:v>B-05120 | B-05121 | B-05122</x:v>
      </x:c>
      <x:c r="O13" s="13" t="str">
        <x:v>Direct definition in this passage.</x:v>
      </x:c>
      <x:c r="P13" s="13" t="str">
        <x:v>https://www.youtube.com/watch?v=TCgYwLuITAI</x:v>
      </x:c>
      <x:c r="Q13" s="13" t="str">
        <x:v>Batch1</x:v>
      </x:c>
    </x:row>
    <x:row r="14" ht="108" hidden="0" customHeight="1">
      <x:c r="A14" s="13" t="str">
        <x:v>SEM-0013</x:v>
      </x:c>
      <x:c r="B14" s="13" t="str">
        <x:v>TCgYwLuITAI</x:v>
      </x:c>
      <x:c r="C14" s="13" t="str">
        <x:v>Stock Market Course: Intro to Trading Stocks</x:v>
      </x:c>
      <x:c r="D14" s="13" t="str">
        <x:v>20221101</x:v>
      </x:c>
      <x:c r="E14" s="13" t="str">
        <x:v>learning_process</x:v>
      </x:c>
      <x:c r="F14" s="13" t="str">
        <x:v>Pete wants traders to understand why he makes decisions and build competence through repetition rather than merely mimic entries and exits.</x:v>
      </x:c>
      <x:c r="G14" s="13" t="str">
        <x:v>PETE_EXPLICIT</x:v>
      </x:c>
      <x:c r="H14" s="13" t="str">
        <x:v>ELIGIBLE_VIDEO_SELF_IDENTIFICATION</x:v>
      </x:c>
      <x:c r="I14" s="13" t="str">
        <x:v>RECHECKED_AGAINST_SOURCE_THIS_RUN</x:v>
      </x:c>
      <x:c r="J14" s="13" t="str">
        <x:v>00:02:02.040</x:v>
      </x:c>
      <x:c r="K14" s="13" t="str">
        <x:v>00:03:31.760</x:v>
      </x:c>
      <x:c r="L14" s="13" t="str">
        <x:v>and that's probably the part that most people jump to First is like just tell me where to get in just tell me where to get out and that's great you'll actually be able to mimic somebody like myself but we don't do things that way what we try and do is we show you exactly what I'm doing I tell you why I'm doing what I'm doing and then we get repetitions in so that you you you you you become the reason that you're making money and there's really no sweeter feeling in the world than having that feeling of conviction that you expect to make money every day and that's that's really what you're going to learn in the next let's say seven minutes all right so stick around we'll be right back I just want to make sure I pop this up on the screen okay so as with everything that we do in these videos these are for educational purposes only it's my mission to try and help you understand exactly what you're doing uh and if we do that I'll have a really good day because um I know trading can drive you crazy sometimes sometimes the market is exploding sometimes the Market's going straight down today we're going to give some context to how to really dig in and understand what's going on and how to make trade decisions with absolute conviction so the next time that you buy a stock you feel 100 that you're making the right decision so the first thing we're going to do is going to work on over and the first concept that we're going to talk about today is probabilities</x:v>
      </x:c>
      <x:c r="M14" s="13" t="str">
        <x:v>FULL_SOURCE_CONTEXT_NOT_ORIGINAL_EXCERPT</x:v>
      </x:c>
      <x:c r="N14" s="13" t="str">
        <x:v>B-05121 | B-05122 | B-05123</x:v>
      </x:c>
      <x:c r="O14" s="13" t="str">
        <x:v>Direct teaching about the learning process.</x:v>
      </x:c>
      <x:c r="P14" s="13" t="str">
        <x:v>https://www.youtube.com/watch?v=TCgYwLuITAI</x:v>
      </x:c>
      <x:c r="Q14" s="13" t="str">
        <x:v>Batch1</x:v>
      </x:c>
    </x:row>
    <x:row r="15" ht="108" hidden="0" customHeight="1">
      <x:c r="A15" s="13" t="str">
        <x:v>SEM-0014</x:v>
      </x:c>
      <x:c r="B15" s="13" t="str">
        <x:v>WxPVXEsPMiY</x:v>
      </x:c>
      <x:c r="C15" s="13" t="str">
        <x:v>Perfect Trade Alert | Cyber Monday Subscription</x:v>
      </x:c>
      <x:c r="D15" s="13" t="str">
        <x:v>20151130</x:v>
      </x:c>
      <x:c r="E15" s="13" t="str">
        <x:v>definition</x:v>
      </x:c>
      <x:c r="F15" s="13" t="str">
        <x:v>Pete describes institutional order flow as big-money activity over a longer period of time.</x:v>
      </x:c>
      <x:c r="G15" s="13" t="str">
        <x:v>PETE_EXPLICIT</x:v>
      </x:c>
      <x:c r="H15" s="13" t="str">
        <x:v>ELIGIBLE_VIDEO_SELF_IDENTIFICATION</x:v>
      </x:c>
      <x:c r="I15" s="13" t="str">
        <x:v>RECHECKED_AGAINST_SOURCE_THIS_RUN</x:v>
      </x:c>
      <x:c r="J15" s="13" t="str">
        <x:v>00:00:01.640</x:v>
      </x:c>
      <x:c r="K15" s="13" t="str">
        <x:v>00:01:17.789</x:v>
      </x:c>
      <x:c r="L15" s="13" t="str">
        <x:v>hello and welcome my name is Pete Renzulli I just wanted to give you guys a quick visual representation in a video of a really cool trading alert that I've been relying on pretty much every day it's uh it's really giving some good opportunities giving plenty ideas of what to look at and I just want to give you a a heads up for uh my friends over at Financial cloud services today and the Cyber deal um that they have Cyber Monday offer for uh to use the alert for three months for 15 it's a really good deal but I I think explaining it to you or showing it to you in a very quick two-minute video will do it a little bit more Justice than just putting it in an email um so essentially what we have going on here is we have three different columns there's institutional order flow which is the big money over a longer period of time there's the most recent price action then we have what's called certified day trading stocks and essentially what that means is the intraday criteria is in sync with the higher two time frames so we're condensing everything that goes on on a long long a time frame chart the last week or 10 days and then certifying whether or not today certain stocks are in sync so you have what's called time frame continuity there so any stock that has three lights these are the Longs and these are the shorts would be something during the day that I'm constantly pulling up to look for an opportunity</x:v>
      </x:c>
      <x:c r="M15" s="13" t="str">
        <x:v>FULL_SOURCE_CONTEXT_NOT_ORIGINAL_EXCERPT</x:v>
      </x:c>
      <x:c r="N15" s="13" t="str">
        <x:v>B-05637 | B-05638</x:v>
      </x:c>
      <x:c r="O15" s="13" t="str">
        <x:v>Direct terminology definition inside a promotional video.</x:v>
      </x:c>
      <x:c r="P15" s="13" t="str">
        <x:v>https://www.youtube.com/watch?v=WxPVXEsPMiY</x:v>
      </x:c>
      <x:c r="Q15" s="13" t="str">
        <x:v>Batch1</x:v>
      </x:c>
    </x:row>
    <x:row r="16" ht="108" hidden="0" customHeight="1">
      <x:c r="A16" s="13" t="str">
        <x:v>SEM-0015</x:v>
      </x:c>
      <x:c r="B16" s="13" t="str">
        <x:v>WxPVXEsPMiY</x:v>
      </x:c>
      <x:c r="C16" s="13" t="str">
        <x:v>Perfect Trade Alert | Cyber Monday Subscription</x:v>
      </x:c>
      <x:c r="D16" s="13" t="str">
        <x:v>20151130</x:v>
      </x:c>
      <x:c r="E16" s="13" t="str">
        <x:v>definition_process</x:v>
      </x:c>
      <x:c r="F16" s="13" t="str">
        <x:v>Pete describes 'certified day trading stocks' as cases where intraday criteria are aligned with two higher-time-frame conditions, calling that time-frame continuity.</x:v>
      </x:c>
      <x:c r="G16" s="13" t="str">
        <x:v>PETE_EXPLICIT</x:v>
      </x:c>
      <x:c r="H16" s="13" t="str">
        <x:v>ELIGIBLE_VIDEO_SELF_IDENTIFICATION</x:v>
      </x:c>
      <x:c r="I16" s="13" t="str">
        <x:v>RECHECKED_AGAINST_SOURCE_THIS_RUN</x:v>
      </x:c>
      <x:c r="J16" s="13" t="str">
        <x:v>00:00:01.640</x:v>
      </x:c>
      <x:c r="K16" s="13" t="str">
        <x:v>00:01:17.789</x:v>
      </x:c>
      <x:c r="L16" s="13" t="str">
        <x:v>hello and welcome my name is Pete Renzulli I just wanted to give you guys a quick visual representation in a video of a really cool trading alert that I've been relying on pretty much every day it's uh it's really giving some good opportunities giving plenty ideas of what to look at and I just want to give you a a heads up for uh my friends over at Financial cloud services today and the Cyber deal um that they have Cyber Monday offer for uh to use the alert for three months for 15 it's a really good deal but I I think explaining it to you or showing it to you in a very quick two-minute video will do it a little bit more Justice than just putting it in an email um so essentially what we have going on here is we have three different columns there's institutional order flow which is the big money over a longer period of time there's the most recent price action then we have what's called certified day trading stocks and essentially what that means is the intraday criteria is in sync with the higher two time frames so we're condensing everything that goes on on a long long a time frame chart the last week or 10 days and then certifying whether or not today certain stocks are in sync so you have what's called time frame continuity there so any stock that has three lights these are the Longs and these are the shorts would be something during the day that I'm constantly pulling up to look for an opportunity</x:v>
      </x:c>
      <x:c r="M16" s="13" t="str">
        <x:v>FULL_SOURCE_CONTEXT_NOT_ORIGINAL_EXCERPT</x:v>
      </x:c>
      <x:c r="N16" s="13" t="str">
        <x:v>B-05637 | B-05638</x:v>
      </x:c>
      <x:c r="O16" s="13" t="str">
        <x:v>This describes the alert/product's framework; later corpus evidence must establish whether it is a general Pete methodology.</x:v>
      </x:c>
      <x:c r="P16" s="13" t="str">
        <x:v>https://www.youtube.com/watch?v=WxPVXEsPMiY</x:v>
      </x:c>
      <x:c r="Q16" s="13" t="str">
        <x:v>Batch1</x:v>
      </x:c>
    </x:row>
    <x:row r="17" ht="108" hidden="0" customHeight="1">
      <x:c r="A17" s="13" t="str">
        <x:v>SEM-0016</x:v>
      </x:c>
      <x:c r="B17" s="13" t="str">
        <x:v>WxPVXEsPMiY</x:v>
      </x:c>
      <x:c r="C17" s="13" t="str">
        <x:v>Perfect Trade Alert | Cyber Monday Subscription</x:v>
      </x:c>
      <x:c r="D17" s="13" t="str">
        <x:v>20151130</x:v>
      </x:c>
      <x:c r="E17" s="13" t="str">
        <x:v>entry_heuristic</x:v>
      </x:c>
      <x:c r="F17" s="13" t="str">
        <x:v>Pete characterizes an optimal entry as a point where the stock has slowed, a risk point is identifiable, and there is room for the trade to go.</x:v>
      </x:c>
      <x:c r="G17" s="13" t="str">
        <x:v>PETE_EXPLICIT</x:v>
      </x:c>
      <x:c r="H17" s="13" t="str">
        <x:v>ELIGIBLE_VIDEO_SELF_IDENTIFICATION</x:v>
      </x:c>
      <x:c r="I17" s="13" t="str">
        <x:v>RECHECKED_AGAINST_SOURCE_THIS_RUN</x:v>
      </x:c>
      <x:c r="J17" s="13" t="str">
        <x:v>00:01:01.960</x:v>
      </x:c>
      <x:c r="K17" s="13" t="str">
        <x:v>00:02:22.390</x:v>
      </x:c>
      <x:c r="L17" s="13" t="str">
        <x:v>week or 10 days and then certifying whether or not today certain stocks are in sync so you have what's called time frame continuity there so any stock that has three lights these are the Longs and these are the shorts would be something during the day that I'm constantly pulling up to look for an opportunity now the fourth column is actually a little bit interesting it is the optimal time to look for an entry where the stock has slowed down there's a risk point and there is room to go so you can see that um kind of on the right-and column here um which you can see here in the trigger column so you can see the stock ADI acemi these are all from today on um November 30th on Monday and you can literally see the time of day that they triggered so I just wanted to show you what it looks like on this blog post you will actually see the entire list here so you can go back and take a look uh yourself to take a look at every one of the stocks but again I feel very strongly about this I use it every day and for three months for $150 completely worth the investment um but I just want to show you one that triggered today um that was a big winner in a in a strong stock and just to give you an idea of the power of when these time frames actually start to um come to fruition and give you some good signals uh you can notice here Facebook actually started to trigger in the morning and it actually the first one actually triggered um just around 10:40 in the</x:v>
      </x:c>
      <x:c r="M17" s="13" t="str">
        <x:v>FULL_SOURCE_CONTEXT_NOT_ORIGINAL_EXCERPT</x:v>
      </x:c>
      <x:c r="N17" s="13" t="str">
        <x:v>B-05637 | B-05638 | B-05639</x:v>
      </x:c>
      <x:c r="O17" s="13" t="str">
        <x:v>Direct description of the alert trigger's intended entry logic.</x:v>
      </x:c>
      <x:c r="P17" s="13" t="str">
        <x:v>https://www.youtube.com/watch?v=WxPVXEsPMiY</x:v>
      </x:c>
      <x:c r="Q17" s="13" t="str">
        <x:v>Batch1</x:v>
      </x:c>
    </x:row>
    <x:row r="18" ht="96" hidden="0" customHeight="1">
      <x:c r="A18" s="13" t="str">
        <x:v>SEM-0017</x:v>
      </x:c>
      <x:c r="B18" s="13" t="str">
        <x:v>WxPVXEsPMiY</x:v>
      </x:c>
      <x:c r="C18" s="13" t="str">
        <x:v>Perfect Trade Alert | Cyber Monday Subscription</x:v>
      </x:c>
      <x:c r="D18" s="13" t="str">
        <x:v>20151130</x:v>
      </x:c>
      <x:c r="E18" s="13" t="str">
        <x:v>example</x:v>
      </x:c>
      <x:c r="F18" s="13" t="str">
        <x:v>Pete presents a stock changing from strong to a short candidate when longer-time-frame direction changed and intraday time frames confirmed.</x:v>
      </x:c>
      <x:c r="G18" s="13" t="str">
        <x:v>PETE_EXPLICIT</x:v>
      </x:c>
      <x:c r="H18" s="13" t="str">
        <x:v>ELIGIBLE_VIDEO_SELF_IDENTIFICATION</x:v>
      </x:c>
      <x:c r="I18" s="13" t="str">
        <x:v>RECHECKED_AGAINST_SOURCE_THIS_RUN</x:v>
      </x:c>
      <x:c r="J18" s="13" t="str">
        <x:v>00:02:06.240</x:v>
      </x:c>
      <x:c r="K18" s="13" t="str">
        <x:v>00:03:23.589</x:v>
      </x:c>
      <x:c r="L18" s="13" t="str">
        <x:v>stock and just to give you an idea of the power of when these time frames actually start to um come to fruition and give you some good signals uh you can notice here Facebook actually started to trigger in the morning and it actually the first one actually triggered um just around 10:40 in the morning it says 1050 here but that's based on the time frame that that it actually triggered um so I want to show you basically it says here at 10:40 but I'm going to give you a little bit behind the scenes here it actually triggered at 1043 so what I want to show you is basically this is 1043 so that's the 1040 candle uh and the low of that candle was 105 and over the next hour uh traded all the way down to 10398 so what was essentially a strong stock coming into the day the criteria changed midday and the stock became a sell short where the longer time frames changed Direction and then the intraday time frames conf confirmed that uh and it actually ended up producing a dollar so just one trade today on a day that the market wasn't really that awesome paid for the entire three months so again I wouldn't be sending this video out if I if I wasn't 100% convinced it was worth it I use it every single day absolutely take advantage of this to uh to get a hold of this um alert for uh for the three-month period $150 a drop in the bucket in my</x:v>
      </x:c>
      <x:c r="M18" s="13" t="str">
        <x:v>FULL_SOURCE_CONTEXT_NOT_ORIGINAL_EXCERPT</x:v>
      </x:c>
      <x:c r="N18" s="13" t="str">
        <x:v>B-05638 | B-05639 | B-05640</x:v>
      </x:c>
      <x:c r="O18" s="13" t="str">
        <x:v>Case evidence, not yet generalized into a universal rule.</x:v>
      </x:c>
      <x:c r="P18" s="13" t="str">
        <x:v>https://www.youtube.com/watch?v=WxPVXEsPMiY</x:v>
      </x:c>
      <x:c r="Q18" s="13" t="str">
        <x:v>Batch1</x:v>
      </x:c>
    </x:row>
    <x:row r="19" ht="60" hidden="0" customHeight="1">
      <x:c r="A19" s="13" t="str">
        <x:v>SEM-0018</x:v>
      </x:c>
      <x:c r="B19" s="13" t="str">
        <x:v>KMBsws4H_Sg</x:v>
      </x:c>
      <x:c r="C19" s="13" t="str">
        <x:v>Trading with Passion | Pete Renzulli</x:v>
      </x:c>
      <x:c r="D19" s="13" t="str">
        <x:v>20150422</x:v>
      </x:c>
      <x:c r="E19" s="13" t="str">
        <x:v>learning_heuristic</x:v>
      </x:c>
      <x:c r="F19" s="13" t="str">
        <x:v>The speaker argues that failing to ask questions of experienced practitioners materially lengthens the learning curve.</x:v>
      </x:c>
      <x:c r="G19" s="13" t="str">
        <x:v>UNKNOWN_REQUIRES_REVIEW</x:v>
      </x:c>
      <x:c r="H19" s="13" t="str">
        <x:v>WITHHELD_UNKNOWN_SPEAKER</x:v>
      </x:c>
      <x:c r="I19" s="13" t="str">
        <x:v>RECHECKED_AGAINST_SOURCE_THIS_RUN</x:v>
      </x:c>
      <x:c r="J19" s="13" t="str">
        <x:v>00:00:02.159</x:v>
      </x:c>
      <x:c r="K19" s="13" t="str">
        <x:v>00:00:52.360</x:v>
      </x:c>
      <x:c r="L19" s="13" t="str">
        <x:v>I will tell you flat out you will have a very elongated learning curve if you're not asking the questions to somebody who's been through it you've seen the passion that everybody here has this weekend I I get questions all the time in the mentoring and um when I'm doing these kind of presentations I can get a little bit uh what's the word Um passion is putting it lightly and and I get that way because I went through what you're going through we've all gone through what that's why we're all here this time you have to take the first step for the next step to be revealed and you have a choice right now to make a decision do I want to learn sooner from and with somebody who is doing what I want to accomplish I mean</x:v>
      </x:c>
      <x:c r="M19" s="13" t="str">
        <x:v>FULL_SOURCE_CONTEXT_NOT_ORIGINAL_EXCERPT</x:v>
      </x:c>
      <x:c r="N19" s="13" t="str">
        <x:v>B-03773</x:v>
      </x:c>
      <x:c r="O19" s="13" t="str">
        <x:v>Title names Pete, but transcript itself does not establish speaker identity in this excerpt; attribution remains unresolved by audit policy.</x:v>
      </x:c>
      <x:c r="P19" s="13" t="str">
        <x:v>https://www.youtube.com/watch?v=KMBsws4H_Sg</x:v>
      </x:c>
      <x:c r="Q19" s="13" t="str">
        <x:v>Batch1</x:v>
      </x:c>
    </x:row>
    <x:row r="20" ht="60" hidden="0" customHeight="1">
      <x:c r="A20" s="13" t="str">
        <x:v>SEM-0019</x:v>
      </x:c>
      <x:c r="B20" s="13" t="str">
        <x:v>4238FMsQ1R4</x:v>
      </x:c>
      <x:c r="C20" s="13" t="str">
        <x:v>8: Reading The Stock Market Indexes</x:v>
      </x:c>
      <x:c r="D20" s="13" t="str">
        <x:v>20221101</x:v>
      </x:c>
      <x:c r="E20" s="13" t="str">
        <x:v>process</x:v>
      </x:c>
      <x:c r="F20" s="13" t="str">
        <x:v>Begin tape reading by asking whether the overall market direction/order flow is obvious, then move down to sector analysis.</x:v>
      </x:c>
      <x:c r="G20" s="13" t="str">
        <x:v>UNKNOWN_REQUIRES_REVIEW</x:v>
      </x:c>
      <x:c r="H20" s="13" t="str">
        <x:v>WITHHELD_UNKNOWN_SPEAKER</x:v>
      </x:c>
      <x:c r="I20" s="13" t="str">
        <x:v>RECHECKED_AGAINST_SOURCE_THIS_RUN</x:v>
      </x:c>
      <x:c r="J20" s="13" t="str">
        <x:v>00:00:00.120</x:v>
      </x:c>
      <x:c r="K20" s="13" t="str">
        <x:v>00:00:42.559</x:v>
      </x:c>
      <x:c r="L20" s="13" t="str">
        <x:v>you could see now for weeks going all the way back to early 2020 you could see that smart money has been buying and paying higher prices for months these are weekly candlesticks for months you can see the same thing in the queues and you can see the same thing in the Dow Jones Industrial Average ETF and matter of fact as of this recording we're sitting at all-time highs that's the first part of tape reading is the market obvious okay is Market obvious fine now we work our way up to the next layer of foundation which is the sectors that Encompass the entire market so we're going to walk over to what that looks like right now and I generally use uh this service called finbiz</x:v>
      </x:c>
      <x:c r="M20" s="13" t="str">
        <x:v>FULL_SOURCE_CONTEXT_NOT_ORIGINAL_EXCERPT</x:v>
      </x:c>
      <x:c r="N20" s="13" t="str">
        <x:v>B-00893</x:v>
      </x:c>
      <x:c r="O20" s="13" t="str">
        <x:v>The passage explicitly calls market obviousness the first part of tape reading and sectors the next layer. Speaker unresolved.</x:v>
      </x:c>
      <x:c r="P20" s="13" t="str">
        <x:v>https://www.youtube.com/watch?v=4238FMsQ1R4</x:v>
      </x:c>
      <x:c r="Q20" s="13" t="str">
        <x:v>Batch2</x:v>
      </x:c>
    </x:row>
    <x:row r="21" ht="60" hidden="0" customHeight="1">
      <x:c r="A21" s="13" t="str">
        <x:v>SEM-0020</x:v>
      </x:c>
      <x:c r="B21" s="13" t="str">
        <x:v>4238FMsQ1R4</x:v>
      </x:c>
      <x:c r="C21" s="13" t="str">
        <x:v>8: Reading The Stock Market Indexes</x:v>
      </x:c>
      <x:c r="D21" s="13" t="str">
        <x:v>20221101</x:v>
      </x:c>
      <x:c r="E21" s="13" t="str">
        <x:v>observation</x:v>
      </x:c>
      <x:c r="F21" s="13" t="str">
        <x:v>Persistent higher buying over weekly candles is interpreted as smart-money buying over months.</x:v>
      </x:c>
      <x:c r="G21" s="13" t="str">
        <x:v>UNKNOWN_REQUIRES_REVIEW</x:v>
      </x:c>
      <x:c r="H21" s="13" t="str">
        <x:v>WITHHELD_UNKNOWN_SPEAKER</x:v>
      </x:c>
      <x:c r="I21" s="13" t="str">
        <x:v>RECHECKED_AGAINST_SOURCE_THIS_RUN</x:v>
      </x:c>
      <x:c r="J21" s="13" t="str">
        <x:v>00:00:00.120</x:v>
      </x:c>
      <x:c r="K21" s="13" t="str">
        <x:v>00:00:42.559</x:v>
      </x:c>
      <x:c r="L21" s="13" t="str">
        <x:v>you could see now for weeks going all the way back to early 2020 you could see that smart money has been buying and paying higher prices for months these are weekly candlesticks for months you can see the same thing in the queues and you can see the same thing in the Dow Jones Industrial Average ETF and matter of fact as of this recording we're sitting at all-time highs that's the first part of tape reading is the market obvious okay is Market obvious fine now we work our way up to the next layer of foundation which is the sectors that Encompass the entire market so we're going to walk over to what that looks like right now and I generally use uh this service called finbiz</x:v>
      </x:c>
      <x:c r="M21" s="13" t="str">
        <x:v>FULL_SOURCE_CONTEXT_NOT_ORIGINAL_EXCERPT</x:v>
      </x:c>
      <x:c r="N21" s="13" t="str">
        <x:v>B-00893</x:v>
      </x:c>
      <x:c r="O21" s="13" t="str">
        <x:v>This is the speaker's interpretation of the chart, not independently verified market fact.</x:v>
      </x:c>
      <x:c r="P21" s="13" t="str">
        <x:v>https://www.youtube.com/watch?v=4238FMsQ1R4</x:v>
      </x:c>
      <x:c r="Q21" s="13" t="str">
        <x:v>Batch2</x:v>
      </x:c>
    </x:row>
    <x:row r="22" ht="60" hidden="0" customHeight="1">
      <x:c r="A22" s="13" t="str">
        <x:v>SEM-0021</x:v>
      </x:c>
      <x:c r="B22" s="13" t="str">
        <x:v>9Dr79OkGioo</x:v>
      </x:c>
      <x:c r="C22" s="13" t="str">
        <x:v>The 60/40 Stock Trading Rule</x:v>
      </x:c>
      <x:c r="D22" s="13" t="str">
        <x:v>20221207</x:v>
      </x:c>
      <x:c r="E22" s="13" t="str">
        <x:v>trade_management_framework</x:v>
      </x:c>
      <x:c r="F22" s="13" t="str">
        <x:v>Allocate more capital, hold longer, and seek larger gains in better-quality situations; reduce exposure and take quicker profits when conditions are less than ideal.</x:v>
      </x:c>
      <x:c r="G22" s="13" t="str">
        <x:v>UNKNOWN_REQUIRES_REVIEW</x:v>
      </x:c>
      <x:c r="H22" s="13" t="str">
        <x:v>WITHHELD_UNKNOWN_SPEAKER</x:v>
      </x:c>
      <x:c r="I22" s="13" t="str">
        <x:v>RECHECKED_AGAINST_SOURCE_THIS_RUN</x:v>
      </x:c>
      <x:c r="J22" s="13" t="str">
        <x:v>00:00:00.000</x:v>
      </x:c>
      <x:c r="K22" s="13" t="str">
        <x:v>00:01:02.300</x:v>
      </x:c>
      <x:c r="L22" s="13" t="str">
        <x:v>that area and I just want to really explain what that means because it's tying everything we just talked about all into one big nice package right if you understand better situations and you may you put more into those trades and you hold longer and you make more on those trades and you understand when it's not perfect maybe reduce a little bit of exposure maybe take quicker profits and you end up having most if not all of those trades kind of wash each other out so 60 of the trades can kind of wash each other out small profits small losses and the other 40 when you recognize Wow Let's go get it and you do you can have sixty percent of your trades not produce positive results but the other 40 can give you astronomical monthly and quarterly gains because you understood what we're talking about now let's wrap</x:v>
      </x:c>
      <x:c r="M22" s="13" t="str">
        <x:v>FULL_SOURCE_CONTEXT_NOT_ORIGINAL_EXCERPT</x:v>
      </x:c>
      <x:c r="N22" s="13" t="str">
        <x:v>B-01661</x:v>
      </x:c>
      <x:c r="O22" s="13" t="str">
        <x:v>Direct explanation of adapting exposure and holding period to setup quality. Speaker unresolved.</x:v>
      </x:c>
      <x:c r="P22" s="13" t="str">
        <x:v>https://www.youtube.com/watch?v=9Dr79OkGioo</x:v>
      </x:c>
      <x:c r="Q22" s="13" t="str">
        <x:v>Batch2</x:v>
      </x:c>
    </x:row>
    <x:row r="23" ht="60" hidden="0" customHeight="1">
      <x:c r="A23" s="13" t="str">
        <x:v>SEM-0022</x:v>
      </x:c>
      <x:c r="B23" s="13" t="str">
        <x:v>9Dr79OkGioo</x:v>
      </x:c>
      <x:c r="C23" s="13" t="str">
        <x:v>The 60/40 Stock Trading Rule</x:v>
      </x:c>
      <x:c r="D23" s="13" t="str">
        <x:v>20221207</x:v>
      </x:c>
      <x:c r="E23" s="13" t="str">
        <x:v>expectancy_framework</x:v>
      </x:c>
      <x:c r="F23" s="13" t="str">
        <x:v>A minority of high-quality trades can drive monthly or quarterly gains while many small wins and losses approximately offset each other.</x:v>
      </x:c>
      <x:c r="G23" s="13" t="str">
        <x:v>UNKNOWN_REQUIRES_REVIEW</x:v>
      </x:c>
      <x:c r="H23" s="13" t="str">
        <x:v>WITHHELD_UNKNOWN_SPEAKER</x:v>
      </x:c>
      <x:c r="I23" s="13" t="str">
        <x:v>RECHECKED_AGAINST_SOURCE_THIS_RUN</x:v>
      </x:c>
      <x:c r="J23" s="13" t="str">
        <x:v>00:00:00.000</x:v>
      </x:c>
      <x:c r="K23" s="13" t="str">
        <x:v>00:01:02.300</x:v>
      </x:c>
      <x:c r="L23" s="13" t="str">
        <x:v>that area and I just want to really explain what that means because it's tying everything we just talked about all into one big nice package right if you understand better situations and you may you put more into those trades and you hold longer and you make more on those trades and you understand when it's not perfect maybe reduce a little bit of exposure maybe take quicker profits and you end up having most if not all of those trades kind of wash each other out so 60 of the trades can kind of wash each other out small profits small losses and the other 40 when you recognize Wow Let's go get it and you do you can have sixty percent of your trades not produce positive results but the other 40 can give you astronomical monthly and quarterly gains because you understood what we're talking about now let's wrap</x:v>
      </x:c>
      <x:c r="M23" s="13" t="str">
        <x:v>FULL_SOURCE_CONTEXT_NOT_ORIGINAL_EXCERPT</x:v>
      </x:c>
      <x:c r="N23" s="13" t="str">
        <x:v>B-01661</x:v>
      </x:c>
      <x:c r="O23" s="13" t="str">
        <x:v>The 60/40 split is presented as a framework/example. It must not be promoted to a universal empirical distribution without broader evidence.</x:v>
      </x:c>
      <x:c r="P23" s="13" t="str">
        <x:v>https://www.youtube.com/watch?v=9Dr79OkGioo</x:v>
      </x:c>
      <x:c r="Q23" s="13" t="str">
        <x:v>Batch2</x:v>
      </x:c>
    </x:row>
    <x:row r="24" ht="36" hidden="0" customHeight="1">
      <x:c r="A24" s="13" t="str">
        <x:v>SEM-0023</x:v>
      </x:c>
      <x:c r="B24" s="13" t="str">
        <x:v>Nr4O25Y2dIg</x:v>
      </x:c>
      <x:c r="C24" s="13" t="str">
        <x:v>Stock Trading Mentoring | Trading Seminar</x:v>
      </x:c>
      <x:c r="D24" s="13" t="str">
        <x:v>20150422</x:v>
      </x:c>
      <x:c r="E24" s="13" t="str">
        <x:v>learning_process</x:v>
      </x:c>
      <x:c r="F24" s="13" t="str">
        <x:v>Real-time market exposure teaches timing nuances that a weekend seminar sample cannot fully convey.</x:v>
      </x:c>
      <x:c r="G24" s="13" t="str">
        <x:v>UNKNOWN_REQUIRES_REVIEW</x:v>
      </x:c>
      <x:c r="H24" s="13" t="str">
        <x:v>WITHHELD_UNKNOWN_SPEAKER</x:v>
      </x:c>
      <x:c r="I24" s="13" t="str">
        <x:v>RECHECKED_AGAINST_SOURCE_THIS_RUN</x:v>
      </x:c>
      <x:c r="J24" s="13" t="str">
        <x:v>00:00:02.440</x:v>
      </x:c>
      <x:c r="K24" s="13" t="str">
        <x:v>00:00:31.000</x:v>
      </x:c>
      <x:c r="L24" s="13" t="str">
        <x:v>so you make a decision if you want to get involved today what you saw this weekend the time you invest in this weekend is a very tiny sample of what actually happens during the day you want to hear us during when the markets open because those little nuances of yes it's a but not right now makes all the difference in the world so I personally want to thank you very much for allowing me to be here for you this weekend I hope you get involved today I want you to get involved</x:v>
      </x:c>
      <x:c r="M24" s="13" t="str">
        <x:v>FULL_SOURCE_CONTEXT_NOT_ORIGINAL_EXCERPT</x:v>
      </x:c>
      <x:c r="N24" s="13" t="str">
        <x:v>B-04345</x:v>
      </x:c>
      <x:c r="O24" s="13" t="str">
        <x:v>Contains educational reasoning but is embedded in a promotional invitation. Speaker unresolved.</x:v>
      </x:c>
      <x:c r="P24" s="13" t="str">
        <x:v>https://www.youtube.com/watch?v=Nr4O25Y2dIg</x:v>
      </x:c>
      <x:c r="Q24" s="13" t="str">
        <x:v>Batch2</x:v>
      </x:c>
    </x:row>
    <x:row r="25" ht="96" hidden="0" customHeight="1">
      <x:c r="A25" s="13" t="str">
        <x:v>SEM-0024</x:v>
      </x:c>
      <x:c r="B25" s="13" t="str">
        <x:v>USYyppTrDkU</x:v>
      </x:c>
      <x:c r="C25" s="13" t="str">
        <x:v>How to Improve as a Trader | Trading Seminar</x:v>
      </x:c>
      <x:c r="D25" s="13" t="str">
        <x:v>20150422</x:v>
      </x:c>
      <x:c r="E25" s="13" t="str">
        <x:v>learning_process</x:v>
      </x:c>
      <x:c r="F25" s="13" t="str">
        <x:v>Working harder alone is insufficient; improvement requires deliberately observing what is and is not working.</x:v>
      </x:c>
      <x:c r="G25" s="13" t="str">
        <x:v>UNKNOWN_REQUIRES_REVIEW</x:v>
      </x:c>
      <x:c r="H25" s="13" t="str">
        <x:v>WITHHELD_UNKNOWN_SPEAKER</x:v>
      </x:c>
      <x:c r="I25" s="13" t="str">
        <x:v>RECHECKED_AGAINST_SOURCE_THIS_RUN</x:v>
      </x:c>
      <x:c r="J25" s="13" t="str">
        <x:v>00:00:02.000</x:v>
      </x:c>
      <x:c r="K25" s="13" t="str">
        <x:v>00:01:18.870</x:v>
      </x:c>
      <x:c r="L25" s="13" t="str">
        <x:v>now you get the pete sandwich i started yesterday morning i get to finish up this afternoon a lot of stuff happened in between uh i can't stress enough how much you've proved to yourself by being here on a weekend for two days and uh if if you guys know me at all know me a little bit uh you can accomplish anything you want to accomplish in your life but you have to keep being persistent and going out of your way like i said yesterday i always thought that working harder was the path to becoming a better trader it's not um it is a part of it we all shake our head yes we all agree you could work i i actually had a slide that i was going to show you here i show my bookshelf at my apartment i just recently moved about uh a month month and a half ago and the biggest portion of my move was my books uh it was literally 16 boxes of books and i don't say that to tell you i'm like a premier member of barnes nobles or anything like that it's just you have to get to the point where you are trying to improve yourself but while you're doing all of that you must pay attention to what's working and what's not working and this is the core of what mentoring is all about i cannot stress enough when when you go through the trader pet that we discussed yesterday morning the trader path starts first with what</x:v>
      </x:c>
      <x:c r="M25" s="13" t="str">
        <x:v>FULL_SOURCE_CONTEXT_NOT_ORIGINAL_EXCERPT</x:v>
      </x:c>
      <x:c r="N25" s="13" t="str">
        <x:v>B-05247 | B-05248</x:v>
      </x:c>
      <x:c r="O25" s="13" t="str">
        <x:v>Direct reflective teaching. The transcript says 'pete sandwich' but that is not sufficient by itself under the strict attribution gate.</x:v>
      </x:c>
      <x:c r="P25" s="13" t="str">
        <x:v>https://www.youtube.com/watch?v=USYyppTrDkU</x:v>
      </x:c>
      <x:c r="Q25" s="13" t="str">
        <x:v>Batch2</x:v>
      </x:c>
    </x:row>
    <x:row r="26" ht="108" hidden="0" customHeight="1">
      <x:c r="A26" s="13" t="str">
        <x:v>SEM-0025</x:v>
      </x:c>
      <x:c r="B26" s="13" t="str">
        <x:v>gqW4fZnpM88</x:v>
      </x:c>
      <x:c r="C26" s="13" t="str">
        <x:v>10: Industry Groups: Stocks With Similar Businesses</x:v>
      </x:c>
      <x:c r="D26" s="13" t="str">
        <x:v>20221101</x:v>
      </x:c>
      <x:c r="E26" s="13" t="str">
        <x:v>stock_selection_process</x:v>
      </x:c>
      <x:c r="F26" s="13" t="str">
        <x:v>Narrow the market from sector to industry to stocks, then rank by performance to focus on the strongest stocks in the strongest sectors.</x:v>
      </x:c>
      <x:c r="G26" s="13" t="str">
        <x:v>UNKNOWN_REQUIRES_REVIEW</x:v>
      </x:c>
      <x:c r="H26" s="13" t="str">
        <x:v>WITHHELD_UNKNOWN_SPEAKER</x:v>
      </x:c>
      <x:c r="I26" s="13" t="str">
        <x:v>RECHECKED_AGAINST_SOURCE_THIS_RUN</x:v>
      </x:c>
      <x:c r="J26" s="13" t="str">
        <x:v>00:00:00.000</x:v>
      </x:c>
      <x:c r="K26" s="13" t="str">
        <x:v>00:01:25.880</x:v>
      </x:c>
      <x:c r="L26" s="13" t="str">
        <x:v>it and when we break that down and we go into overview inside of the stock market power pyramid there's going to be different Industries within different sectors so now the fast way of doing this is you want to break this down even a little further you want to have some sort of criteria for stocks that have attention remember back a couple of minutes ago we discussed institutions have attention on certain stocks and they have reliability to their probability okay so we're going to break this down a little bit further now and we're going to talk about average volume which is attention now we're going to use 2 million that's the number that I normally use so 139 technology stocks have an average of 2 million shares I also want to talk about average true range that's the volatility how much a stock normally moves from the high to the low so we broke that all the way down to 55 stocks in the technology sector and so now you can see here's the sector here's the industry and we're going to break this down by performance again so we're just going to go by the last month just to give you an idea and now you can see the strongest stocks in the strongest sectors that will actually end up being the stocks that you pay attention to very easy to break down now what we just covered sounds like a lot but it's really not think about it all of the decisions at the beginning were simply breaking them down into</x:v>
      </x:c>
      <x:c r="M26" s="13" t="str">
        <x:v>FULL_SOURCE_CONTEXT_NOT_ORIGINAL_EXCERPT</x:v>
      </x:c>
      <x:c r="N26" s="13" t="str">
        <x:v>B-07417 | B-07418</x:v>
      </x:c>
      <x:c r="O26" s="13" t="str">
        <x:v>Direct multi-stage selection process. Speaker unresolved.</x:v>
      </x:c>
      <x:c r="P26" s="13" t="str">
        <x:v>https://www.youtube.com/watch?v=gqW4fZnpM88</x:v>
      </x:c>
      <x:c r="Q26" s="13" t="str">
        <x:v>Batch2</x:v>
      </x:c>
    </x:row>
    <x:row r="27" ht="108" hidden="0" customHeight="1">
      <x:c r="A27" s="13" t="str">
        <x:v>SEM-0026</x:v>
      </x:c>
      <x:c r="B27" s="13" t="str">
        <x:v>gqW4fZnpM88</x:v>
      </x:c>
      <x:c r="C27" s="13" t="str">
        <x:v>10: Industry Groups: Stocks With Similar Businesses</x:v>
      </x:c>
      <x:c r="D27" s="13" t="str">
        <x:v>20221101</x:v>
      </x:c>
      <x:c r="E27" s="13" t="str">
        <x:v>scanner_filter</x:v>
      </x:c>
      <x:c r="F27" s="13" t="str">
        <x:v>Use average volume as an attention/liquidity criterion; the speaker normally uses 2 million shares.</x:v>
      </x:c>
      <x:c r="G27" s="13" t="str">
        <x:v>UNKNOWN_REQUIRES_REVIEW</x:v>
      </x:c>
      <x:c r="H27" s="13" t="str">
        <x:v>WITHHELD_UNKNOWN_SPEAKER</x:v>
      </x:c>
      <x:c r="I27" s="13" t="str">
        <x:v>RECHECKED_AGAINST_SOURCE_THIS_RUN</x:v>
      </x:c>
      <x:c r="J27" s="13" t="str">
        <x:v>00:00:00.000</x:v>
      </x:c>
      <x:c r="K27" s="13" t="str">
        <x:v>00:01:25.880</x:v>
      </x:c>
      <x:c r="L27" s="13" t="str">
        <x:v>it and when we break that down and we go into overview inside of the stock market power pyramid there's going to be different Industries within different sectors so now the fast way of doing this is you want to break this down even a little further you want to have some sort of criteria for stocks that have attention remember back a couple of minutes ago we discussed institutions have attention on certain stocks and they have reliability to their probability okay so we're going to break this down a little bit further now and we're going to talk about average volume which is attention now we're going to use 2 million that's the number that I normally use so 139 technology stocks have an average of 2 million shares I also want to talk about average true range that's the volatility how much a stock normally moves from the high to the low so we broke that all the way down to 55 stocks in the technology sector and so now you can see here's the sector here's the industry and we're going to break this down by performance again so we're just going to go by the last month just to give you an idea and now you can see the strongest stocks in the strongest sectors that will actually end up being the stocks that you pay attention to very easy to break down now what we just covered sounds like a lot but it's really not think about it all of the decisions at the beginning were simply breaking them down into</x:v>
      </x:c>
      <x:c r="M27" s="13" t="str">
        <x:v>FULL_SOURCE_CONTEXT_NOT_ORIGINAL_EXCERPT</x:v>
      </x:c>
      <x:c r="N27" s="13" t="str">
        <x:v>B-07417 | B-07418</x:v>
      </x:c>
      <x:c r="O27" s="13" t="str">
        <x:v>Explicit numerical personal filter. Preserve 'normally use' as preference, not universal rule.</x:v>
      </x:c>
      <x:c r="P27" s="13" t="str">
        <x:v>https://www.youtube.com/watch?v=gqW4fZnpM88</x:v>
      </x:c>
      <x:c r="Q27" s="13" t="str">
        <x:v>Batch2</x:v>
      </x:c>
    </x:row>
    <x:row r="28" ht="108" hidden="0" customHeight="1">
      <x:c r="A28" s="13" t="str">
        <x:v>SEM-0027</x:v>
      </x:c>
      <x:c r="B28" s="13" t="str">
        <x:v>gqW4fZnpM88</x:v>
      </x:c>
      <x:c r="C28" s="13" t="str">
        <x:v>10: Industry Groups: Stocks With Similar Businesses</x:v>
      </x:c>
      <x:c r="D28" s="13" t="str">
        <x:v>20221101</x:v>
      </x:c>
      <x:c r="E28" s="13" t="str">
        <x:v>definition</x:v>
      </x:c>
      <x:c r="F28" s="13" t="str">
        <x:v>Average true range is used as a volatility measure, described as how much a stock normally moves from high to low.</x:v>
      </x:c>
      <x:c r="G28" s="13" t="str">
        <x:v>UNKNOWN_REQUIRES_REVIEW</x:v>
      </x:c>
      <x:c r="H28" s="13" t="str">
        <x:v>WITHHELD_UNKNOWN_SPEAKER</x:v>
      </x:c>
      <x:c r="I28" s="13" t="str">
        <x:v>RECHECKED_AGAINST_SOURCE_THIS_RUN</x:v>
      </x:c>
      <x:c r="J28" s="13" t="str">
        <x:v>00:00:00.000</x:v>
      </x:c>
      <x:c r="K28" s="13" t="str">
        <x:v>00:01:25.880</x:v>
      </x:c>
      <x:c r="L28" s="13" t="str">
        <x:v>it and when we break that down and we go into overview inside of the stock market power pyramid there's going to be different Industries within different sectors so now the fast way of doing this is you want to break this down even a little further you want to have some sort of criteria for stocks that have attention remember back a couple of minutes ago we discussed institutions have attention on certain stocks and they have reliability to their probability okay so we're going to break this down a little bit further now and we're going to talk about average volume which is attention now we're going to use 2 million that's the number that I normally use so 139 technology stocks have an average of 2 million shares I also want to talk about average true range that's the volatility how much a stock normally moves from the high to the low so we broke that all the way down to 55 stocks in the technology sector and so now you can see here's the sector here's the industry and we're going to break this down by performance again so we're just going to go by the last month just to give you an idea and now you can see the strongest stocks in the strongest sectors that will actually end up being the stocks that you pay attention to very easy to break down now what we just covered sounds like a lot but it's really not think about it all of the decisions at the beginning were simply breaking them down into</x:v>
      </x:c>
      <x:c r="M28" s="13" t="str">
        <x:v>FULL_SOURCE_CONTEXT_NOT_ORIGINAL_EXCERPT</x:v>
      </x:c>
      <x:c r="N28" s="13" t="str">
        <x:v>B-07417 | B-07418</x:v>
      </x:c>
      <x:c r="O28" s="13" t="str">
        <x:v>Direct definition in context.</x:v>
      </x:c>
      <x:c r="P28" s="13" t="str">
        <x:v>https://www.youtube.com/watch?v=gqW4fZnpM88</x:v>
      </x:c>
      <x:c r="Q28" s="13" t="str">
        <x:v>Batch2</x:v>
      </x:c>
    </x:row>
    <x:row r="29" ht="84" hidden="0" customHeight="1">
      <x:c r="A29" s="13" t="str">
        <x:v>SEM-0028</x:v>
      </x:c>
      <x:c r="B29" s="13" t="str">
        <x:v>jOKFquHre2s</x:v>
      </x:c>
      <x:c r="C29" s="13" t="str">
        <x:v>Should You Sell Naked Options as A New Trader?</x:v>
      </x:c>
      <x:c r="D29" s="13" t="str">
        <x:v>20240709</x:v>
      </x:c>
      <x:c r="E29" s="13" t="str">
        <x:v>warning</x:v>
      </x:c>
      <x:c r="F29" s="13" t="str">
        <x:v>Avoid naked-option strategies for new traders because the capital/risk profile can be severe.</x:v>
      </x:c>
      <x:c r="G29" s="13" t="str">
        <x:v>UNKNOWN_REQUIRES_REVIEW</x:v>
      </x:c>
      <x:c r="H29" s="13" t="str">
        <x:v>WITHHELD_UNKNOWN_SPEAKER</x:v>
      </x:c>
      <x:c r="I29" s="13" t="str">
        <x:v>RECHECKED_AGAINST_SOURCE_THIS_RUN</x:v>
      </x:c>
      <x:c r="J29" s="13" t="str">
        <x:v>00:00:00.080</x:v>
      </x:c>
      <x:c r="K29" s="13" t="str">
        <x:v>00:01:21.640</x:v>
      </x:c>
      <x:c r="L29" s="13" t="str">
        <x:v>what are your thoughts on new tra new options Traders selling naked options very bad a naked call is very bad unless you have a lot of money in your account that's that's a synthetic short position right so anything could happen overnight when you sell a naked put you want to be happy owning whatever it is you're selling naked so think about that if you sell one contract of of let's say where Tesla trading these days if you sell yes so what so if you sell a naked put on Tesla 28 289 I think yeah so let's say you sell the two I don't know the 275 puts right you think it's not going to go down to 275 if you get signed you're tying up $27,500 to what make $300 do you know it doesn't make sense so that's the thing if you do a strategy like that just do a credit spread where you let's say sell the 275s and you buy the 270s maybe you only take in $150 but then you don't have to you could sleep at night you know what I mean and that's the key so these are all things we'll learn in class but I think any kind of naked strategy for a newbie even for an old be is not a good idea that's just my two cents</x:v>
      </x:c>
      <x:c r="M29" s="13" t="str">
        <x:v>FULL_SOURCE_CONTEXT_NOT_ORIGINAL_EXCERPT</x:v>
      </x:c>
      <x:c r="N29" s="13" t="str">
        <x:v>B-07852 | B-07853</x:v>
      </x:c>
      <x:c r="O29" s="13" t="str">
        <x:v>Strong explicit recommendation, but speaker unresolved and likely specialist/options contributor until attribution is established.</x:v>
      </x:c>
      <x:c r="P29" s="13" t="str">
        <x:v>https://www.youtube.com/watch?v=jOKFquHre2s</x:v>
      </x:c>
      <x:c r="Q29" s="13" t="str">
        <x:v>Batch2</x:v>
      </x:c>
    </x:row>
    <x:row r="30" ht="84" hidden="0" customHeight="1">
      <x:c r="A30" s="13" t="str">
        <x:v>SEM-0029</x:v>
      </x:c>
      <x:c r="B30" s="13" t="str">
        <x:v>jOKFquHre2s</x:v>
      </x:c>
      <x:c r="C30" s="13" t="str">
        <x:v>Should You Sell Naked Options as A New Trader?</x:v>
      </x:c>
      <x:c r="D30" s="13" t="str">
        <x:v>20240709</x:v>
      </x:c>
      <x:c r="E30" s="13" t="str">
        <x:v>options_risk_heuristic</x:v>
      </x:c>
      <x:c r="F30" s="13" t="str">
        <x:v>When selling a naked put, be willing to own the underlying if assigned; a defined-risk credit spread is offered as an alternative.</x:v>
      </x:c>
      <x:c r="G30" s="13" t="str">
        <x:v>UNKNOWN_REQUIRES_REVIEW</x:v>
      </x:c>
      <x:c r="H30" s="13" t="str">
        <x:v>WITHHELD_UNKNOWN_SPEAKER</x:v>
      </x:c>
      <x:c r="I30" s="13" t="str">
        <x:v>RECHECKED_AGAINST_SOURCE_THIS_RUN</x:v>
      </x:c>
      <x:c r="J30" s="13" t="str">
        <x:v>00:00:00.080</x:v>
      </x:c>
      <x:c r="K30" s="13" t="str">
        <x:v>00:01:21.640</x:v>
      </x:c>
      <x:c r="L30" s="13" t="str">
        <x:v>what are your thoughts on new tra new options Traders selling naked options very bad a naked call is very bad unless you have a lot of money in your account that's that's a synthetic short position right so anything could happen overnight when you sell a naked put you want to be happy owning whatever it is you're selling naked so think about that if you sell one contract of of let's say where Tesla trading these days if you sell yes so what so if you sell a naked put on Tesla 28 289 I think yeah so let's say you sell the two I don't know the 275 puts right you think it's not going to go down to 275 if you get signed you're tying up $27,500 to what make $300 do you know it doesn't make sense so that's the thing if you do a strategy like that just do a credit spread where you let's say sell the 275s and you buy the 270s maybe you only take in $150 but then you don't have to you could sleep at night you know what I mean and that's the key so these are all things we'll learn in class but I think any kind of naked strategy for a newbie even for an old be is not a good idea that's just my two cents</x:v>
      </x:c>
      <x:c r="M30" s="13" t="str">
        <x:v>FULL_SOURCE_CONTEXT_NOT_ORIGINAL_EXCERPT</x:v>
      </x:c>
      <x:c r="N30" s="13" t="str">
        <x:v>B-07852 | B-07853</x:v>
      </x:c>
      <x:c r="O30" s="13" t="str">
        <x:v>Direct options risk-management teaching. Speaker unresolved.</x:v>
      </x:c>
      <x:c r="P30" s="13" t="str">
        <x:v>https://www.youtube.com/watch?v=jOKFquHre2s</x:v>
      </x:c>
      <x:c r="Q30" s="13" t="str">
        <x:v>Batch2</x:v>
      </x:c>
    </x:row>
    <x:row r="31" ht="180" hidden="0" customHeight="1">
      <x:c r="A31" s="13" t="str">
        <x:v>SEM-0030</x:v>
      </x:c>
      <x:c r="B31" s="13" t="str">
        <x:v>pu2nSm7BmI0</x:v>
      </x:c>
      <x:c r="C31" s="13" t="str">
        <x:v>Deconstructing Stock Rallies: Short Squeezes vs Accumulation</x:v>
      </x:c>
      <x:c r="D31" s="13" t="str">
        <x:v>20150610</x:v>
      </x:c>
      <x:c r="E31" s="13" t="str">
        <x:v>market_structure_heuristic</x:v>
      </x:c>
      <x:c r="F31" s="13" t="str">
        <x:v>A hard, fast rally from the lows that fails to pause/hold is interpreted as short covering, whereas a slower organized rally that holds a pause can indicate accumulation/new buying.</x:v>
      </x:c>
      <x:c r="G31" s="13" t="str">
        <x:v>UNKNOWN_REQUIRES_REVIEW</x:v>
      </x:c>
      <x:c r="H31" s="13" t="str">
        <x:v>WITHHELD_UNKNOWN_SPEAKER</x:v>
      </x:c>
      <x:c r="I31" s="13" t="str">
        <x:v>RECHECKED_AGAINST_SOURCE_THIS_RUN</x:v>
      </x:c>
      <x:c r="J31" s="13" t="str">
        <x:v>00:00:00.080</x:v>
      </x:c>
      <x:c r="K31" s="13" t="str">
        <x:v>00:02:03.520</x:v>
      </x:c>
      <x:c r="L31" s="13" t="str">
        <x:v>Oh, actually it was the casino stocks. Oh, right. We didn't talk about those. No, actually I just remembered the short covering rally. Oh, right. That's what it was. That's what it was. See, this actually very sign I'm sorry. I'm like I think I have problem mentally. I would have been texting you later. Um, so that was what I meant. We had pushed down and then we had a vi I mean this is a pretty violent move. This is $12 off the lows including a gap. But you notice we didn't go up and go sideways like we did in the other stock. this when we actually came back down. So that that was the point that I wanted to make. So the implication is what was the other stock, Marion? I'm sorry. Um we're both getting old. I can't taking notes on this. I can't remember. LinkedIn. It was LinkedIn. LinkedIn. That's right. So So you see the price action here. This we we said very clearly this was a short covering rally because of the speed of what happened and the fact that it didn't go sideways, but LinkedIn was a little bit more organized and it's holding the pause. So that's the point that I wanted to make there. So two and and and really the longerterm implications of setting up the trade, you're going to look at the trade differently. LinkedIn, you would consider it new buying, which is initiating new positions, versus exiting a short sale, which is not initiating a new position, which forecasts the next move in the stock. That was the point that I wanted to make and I'm glad I remember that while we were still in the meeting. And actually, I think that's a really good point. I've just written this down and also to take like a grab of those two just for ex explanation when somebody wants to know the difference. Those are two great charts to explain that. Yep. And and you know it's interesting because it it sounds like it's the same thing that you know we're rallying off the lows but it's not. The implications of the exiting trades versus initiating new trades will absolutely influence what you expect to have next happen next in the stock. So it's a really cool thing to learn when you know and then you start to eyeball it. be like, "All right, I slow move to the upside off of the lows." I, you know, I could consider that maybe accumulation buying versus, "No, it was so hard and fast off the lows. I'm not, you know, I'm not looking to get long. That's probably just short covering. That's not people initiating new trades." It's a really cool thing to</x:v>
      </x:c>
      <x:c r="M31" s="13" t="str">
        <x:v>FULL_SOURCE_CONTEXT_NOT_ORIGINAL_EXCERPT</x:v>
      </x:c>
      <x:c r="N31" s="13" t="str">
        <x:v>B-08990 | B-08991</x:v>
      </x:c>
      <x:c r="O31" s="13" t="str">
        <x:v>Direct comparative price-action heuristic. Speaker unresolved.</x:v>
      </x:c>
      <x:c r="P31" s="13" t="str">
        <x:v>https://www.youtube.com/watch?v=pu2nSm7BmI0</x:v>
      </x:c>
      <x:c r="Q31" s="13" t="str">
        <x:v>Batch2</x:v>
      </x:c>
    </x:row>
    <x:row r="32" ht="180" hidden="0" customHeight="1">
      <x:c r="A32" s="13" t="str">
        <x:v>SEM-0031</x:v>
      </x:c>
      <x:c r="B32" s="13" t="str">
        <x:v>pu2nSm7BmI0</x:v>
      </x:c>
      <x:c r="C32" s="13" t="str">
        <x:v>Deconstructing Stock Rallies: Short Squeezes vs Accumulation</x:v>
      </x:c>
      <x:c r="D32" s="13" t="str">
        <x:v>20150610</x:v>
      </x:c>
      <x:c r="E32" s="13" t="str">
        <x:v>causal_explanation</x:v>
      </x:c>
      <x:c r="F32" s="13" t="str">
        <x:v>Exiting short positions and initiating new long positions have different implications for expected subsequent price action.</x:v>
      </x:c>
      <x:c r="G32" s="13" t="str">
        <x:v>UNKNOWN_REQUIRES_REVIEW</x:v>
      </x:c>
      <x:c r="H32" s="13" t="str">
        <x:v>WITHHELD_UNKNOWN_SPEAKER</x:v>
      </x:c>
      <x:c r="I32" s="13" t="str">
        <x:v>RECHECKED_AGAINST_SOURCE_THIS_RUN</x:v>
      </x:c>
      <x:c r="J32" s="13" t="str">
        <x:v>00:00:00.080</x:v>
      </x:c>
      <x:c r="K32" s="13" t="str">
        <x:v>00:02:03.520</x:v>
      </x:c>
      <x:c r="L32" s="13" t="str">
        <x:v>Oh, actually it was the casino stocks. Oh, right. We didn't talk about those. No, actually I just remembered the short covering rally. Oh, right. That's what it was. That's what it was. See, this actually very sign I'm sorry. I'm like I think I have problem mentally. I would have been texting you later. Um, so that was what I meant. We had pushed down and then we had a vi I mean this is a pretty violent move. This is $12 off the lows including a gap. But you notice we didn't go up and go sideways like we did in the other stock. this when we actually came back down. So that that was the point that I wanted to make. So the implication is what was the other stock, Marion? I'm sorry. Um we're both getting old. I can't taking notes on this. I can't remember. LinkedIn. It was LinkedIn. LinkedIn. That's right. So So you see the price action here. This we we said very clearly this was a short covering rally because of the speed of what happened and the fact that it didn't go sideways, but LinkedIn was a little bit more organized and it's holding the pause. So that's the point that I wanted to make there. So two and and and really the longerterm implications of setting up the trade, you're going to look at the trade differently. LinkedIn, you would consider it new buying, which is initiating new positions, versus exiting a short sale, which is not initiating a new position, which forecasts the next move in the stock. That was the point that I wanted to make and I'm glad I remember that while we were still in the meeting. And actually, I think that's a really good point. I've just written this down and also to take like a grab of those two just for ex explanation when somebody wants to know the difference. Those are two great charts to explain that. Yep. And and you know it's interesting because it it sounds like it's the same thing that you know we're rallying off the lows but it's not. The implications of the exiting trades versus initiating new trades will absolutely influence what you expect to have next happen next in the stock. So it's a really cool thing to learn when you know and then you start to eyeball it. be like, "All right, I slow move to the upside off of the lows." I, you know, I could consider that maybe accumulation buying versus, "No, it was so hard and fast off the lows. I'm not, you know, I'm not looking to get long. That's probably just short covering. That's not people initiating new trades." It's a really cool thing to</x:v>
      </x:c>
      <x:c r="M32" s="13" t="str">
        <x:v>FULL_SOURCE_CONTEXT_NOT_ORIGINAL_EXCERPT</x:v>
      </x:c>
      <x:c r="N32" s="13" t="str">
        <x:v>B-08990 | B-08991</x:v>
      </x:c>
      <x:c r="O32" s="13" t="str">
        <x:v>Explicit causal/expectation distinction. This is a testable market claim later.</x:v>
      </x:c>
      <x:c r="P32" s="13" t="str">
        <x:v>https://www.youtube.com/watch?v=pu2nSm7BmI0</x:v>
      </x:c>
      <x:c r="Q32" s="13" t="str">
        <x:v>Batch2</x:v>
      </x:c>
    </x:row>
    <x:row r="33" ht="108" hidden="0" customHeight="1">
      <x:c r="A33" s="13" t="str">
        <x:v>RUN-SEM-0001</x:v>
      </x:c>
      <x:c r="B33" s="13" t="str">
        <x:v>BWmb5gILKC4</x:v>
      </x:c>
      <x:c r="C33" s="13" t="str">
        <x:v>Options Trading Lesson | Vertical Spreads vs Diagonal Spreads</x:v>
      </x:c>
      <x:c r="D33" s="13" t="str">
        <x:v>20240709</x:v>
      </x:c>
      <x:c r="E33" s="13" t="str">
        <x:v>definition</x:v>
      </x:c>
      <x:c r="F33" s="13" t="str">
        <x:v>The speaker contrasts a straight long call with a more conservative vertical call spread: the latter sells a call with the same expiration and caps upside.</x:v>
      </x:c>
      <x:c r="G33" s="13" t="str">
        <x:v>UNKNOWN_OPTIONS_RESPONDENT</x:v>
      </x:c>
      <x:c r="H33" s="13" t="str">
        <x:v>WITHHELD_UNKNOWN_OR_OTHER_SPEAKER</x:v>
      </x:c>
      <x:c r="I33" s="13" t="str">
        <x:v>SEMANTICALLY_REVIEWED_THIS_RUN</x:v>
      </x:c>
      <x:c r="J33" s="13" t="str">
        <x:v>00:00:00.480</x:v>
      </x:c>
      <x:c r="K33" s="13" t="str">
        <x:v>00:01:16.470</x:v>
      </x:c>
      <x:c r="L33" s="13" t="str">
        <x:v>What you mentioned before, vertical versus diagonal spreads, what's the difference between the two? Well, diagonal spread is one of my favorite strategies, it really is, because it combines both ideas. So, when you have a straight call, a call is basically the most aggressive strategy. You're you're you're long a stock, you know, you're long an option, you you're bullish, obviously, you're very bullish, you have a massive target on it because you think it's going to just rip higher because you didn't sell anything against it. So, that's one strategy, right? A vertical spread is more conservative because you're picking a call option, let's say out 30 days, and then you're selling a call option against it for the same expiration date, out 30 days. So, for that 30-day period, you're capping your upside, basically, like we talked about. You have you have a something that you have a sale option on top of it, which basically caps whatever that is. So, if you buy a 100 strike call and you sell a 110 strike call against it, if it goes to 111, you don't make that extra dollar because you're short a call, essentially, at 110. Now, a diagonal spread, what that does is it allows you to test drive the call option. That's what I like to call it. It's like the option test drive. Because what you're doing is you're not using the same expiration date. What you'll do is you will go out</x:v>
      </x:c>
      <x:c r="M33" s="13" t="str">
        <x:v>VERBATIM_SOURCE_CONTEXT</x:v>
      </x:c>
      <x:c r="N33" s="13" t="str">
        <x:v>B-02067</x:v>
      </x:c>
      <x:c r="O33" s="13" t="str">
        <x:v>definition; bullish-call example only</x:v>
      </x:c>
      <x:c r="P33" s="13" t="str">
        <x:v>https://www.youtube.com/watch?v=BWmb5gILKC4</x:v>
      </x:c>
      <x:c r="Q33" s="13" t="str">
        <x:v>This run packet1</x:v>
      </x:c>
    </x:row>
    <x:row r="34" ht="192" hidden="0" customHeight="1">
      <x:c r="A34" s="13" t="str">
        <x:v>RUN-SEM-0002</x:v>
      </x:c>
      <x:c r="B34" s="13" t="str">
        <x:v>BWmb5gILKC4</x:v>
      </x:c>
      <x:c r="C34" s="13" t="str">
        <x:v>Options Trading Lesson | Vertical Spreads vs Diagonal Spreads</x:v>
      </x:c>
      <x:c r="D34" s="13" t="str">
        <x:v>20240709</x:v>
      </x:c>
      <x:c r="E34" s="13" t="str">
        <x:v>process_example</x:v>
      </x:c>
      <x:c r="F34" s="13" t="str">
        <x:v>A diagonal call-spread example buys a longer-dated call and sells a shorter-dated call, then rolls the short strike upward as the stock rises to collect successive credits.</x:v>
      </x:c>
      <x:c r="G34" s="13" t="str">
        <x:v>UNKNOWN_OPTIONS_RESPONDENT</x:v>
      </x:c>
      <x:c r="H34" s="13" t="str">
        <x:v>WITHHELD_UNKNOWN_OR_OTHER_SPEAKER</x:v>
      </x:c>
      <x:c r="I34" s="13" t="str">
        <x:v>SEMANTICALLY_REVIEWED_THIS_RUN</x:v>
      </x:c>
      <x:c r="J34" s="13" t="str">
        <x:v>00:01:02.720</x:v>
      </x:c>
      <x:c r="K34" s="13" t="str">
        <x:v>00:03:22.830</x:v>
      </x:c>
      <x:c r="L34" s="13" t="str">
        <x:v>Now, a diagonal spread, what that does is it allows you to test drive the call option. That's what I like to call it. It's like the option test drive. Because what you're doing is you're not using the same expiration date. What you'll do is you will go out a month, just like you normally would. Let's say you buy a 1-month call option, right? The $100 call option. And now what you'll do is you'll say, "You know what? I think it's going to go sideways this week. I think it's eventually going to break out, but this week I'm a little bit more bearish. I think the market's kind of tired." But you still like this particular stock, right? That's your problem that's your dilemma, right? So, what you do is instead of going out a month on the sell side, you just go out a week. So, what you'll do is now is you have the 1-month option, which is your main leg or your anchor leg, and then what you do is then you go out a week, and let's say instead of the 120s, instead of the 110s, maybe do 105. Because you don't expect it to really move around too much this week. Here here's the good thing about this, you go out to the you do the 105s out to this Friday. When Friday comes along, and let's say it's at 104 1/2, that option's going to expire worthless. You took in a very small credit. You didn't take in a larger credit like you normally would if you went out a month because of time decay, right? There's less time. But now what you can do is you can roll it up. If it's at 104 1/2, you're no longer going to sell a 105 strike. Now you're going to do the 110s for following Friday. And then let's say next Friday rolls around, you could do the 115s. And let's say the following Friday rolls around, you could do the 120s, and on, and what you're doing is you're just rolling up your short calls, and you're collecting a premium every single week. And what you're essentially doing is you're lowering the cost of your trade. If that original 100 strike cost you $500, and you're taking in 50 to 100 bucks a week in credit, now your trade is essentially free. And now, worst-case scenario, the stock goes to 110 on Friday, right? You're still going to have a profitable trade. Because your anchor leg is still the 100. You're still going to you're still going to have a profitable trade. Only thing is you won't make as much money as you would as you wanted to. You would have to close out that position. Maybe you're only up 10, 20% on the contract, who knows. But I could think of worse problems to have than be up 10, 20%. No, right? Yeah, actually got a looks like Philip had a good trade that he got out of too soon. $20 puts when the market went</x:v>
      </x:c>
      <x:c r="M34" s="13" t="str">
        <x:v>VERBATIM_SOURCE_CONTEXT</x:v>
      </x:c>
      <x:c r="N34" s="13" t="str">
        <x:v>B-02068 | B-02069</x:v>
      </x:c>
      <x:c r="O34" s="13" t="str">
        <x:v>Conditional illustrative sequence; weekly credits and profitability are not guaranteed.</x:v>
      </x:c>
      <x:c r="P34" s="13" t="str">
        <x:v>https://www.youtube.com/watch?v=BWmb5gILKC4</x:v>
      </x:c>
      <x:c r="Q34" s="13" t="str">
        <x:v>This run packet1</x:v>
      </x:c>
    </x:row>
    <x:row r="35" ht="108" hidden="0" customHeight="1">
      <x:c r="A35" s="13" t="str">
        <x:v>RUN-SEM-0003</x:v>
      </x:c>
      <x:c r="B35" s="13" t="str">
        <x:v>BWmb5gILKC4</x:v>
      </x:c>
      <x:c r="C35" s="13" t="str">
        <x:v>Options Trading Lesson | Vertical Spreads vs Diagonal Spreads</x:v>
      </x:c>
      <x:c r="D35" s="13" t="str">
        <x:v>20240709</x:v>
      </x:c>
      <x:c r="E35" s="13" t="str">
        <x:v>conditional_example</x:v>
      </x:c>
      <x:c r="F35" s="13" t="str">
        <x:v>The speaker describes accumulated short-call credits as reducing the initial trade cost and possibly covering it in the example.</x:v>
      </x:c>
      <x:c r="G35" s="13" t="str">
        <x:v>UNKNOWN_OPTIONS_RESPONDENT</x:v>
      </x:c>
      <x:c r="H35" s="13" t="str">
        <x:v>WITHHELD_UNKNOWN_OR_OTHER_SPEAKER</x:v>
      </x:c>
      <x:c r="I35" s="13" t="str">
        <x:v>SEMANTICALLY_REVIEWED_THIS_RUN</x:v>
      </x:c>
      <x:c r="J35" s="13" t="str">
        <x:v>00:02:05.280</x:v>
      </x:c>
      <x:c r="K35" s="13" t="str">
        <x:v>00:03:22.830</x:v>
      </x:c>
      <x:c r="L35" s="13" t="str">
        <x:v>that option's going to expire worthless. You took in a very small credit. You didn't take in a larger credit like you normally would if you went out a month because of time decay, right? There's less time. But now what you can do is you can roll it up. If it's at 104 1/2, you're no longer going to sell a 105 strike. Now you're going to do the 110s for following Friday. And then let's say next Friday rolls around, you could do the 115s. And let's say the following Friday rolls around, you could do the 120s, and on, and what you're doing is you're just rolling up your short calls, and you're collecting a premium every single week. And what you're essentially doing is you're lowering the cost of your trade. If that original 100 strike cost you $500, and you're taking in 50 to 100 bucks a week in credit, now your trade is essentially free. And now, worst-case scenario, the stock goes to 110 on Friday, right? You're still going to have a profitable trade. Because your anchor leg is still the 100. You're still going to you're still going to have a profitable trade. Only thing is you won't make as much money as you would as you wanted to. You would have to close out that position. Maybe you're only up 10, 20% on the contract, who knows. But I could think of worse problems to have than be up 10, 20%. No, right? Yeah, actually got a looks like Philip had a good trade that he got out of too soon. $20 puts when the market went</x:v>
      </x:c>
      <x:c r="M35" s="13" t="str">
        <x:v>VERBATIM_SOURCE_CONTEXT</x:v>
      </x:c>
      <x:c r="N35" s="13" t="str">
        <x:v>B-02069</x:v>
      </x:c>
      <x:c r="O35" s="13" t="str">
        <x:v>Do not interpret 'free' or 'worst-case' as a comprehensive risk statement; downside scenarios are not described.</x:v>
      </x:c>
      <x:c r="P35" s="13" t="str">
        <x:v>https://www.youtube.com/watch?v=BWmb5gILKC4</x:v>
      </x:c>
      <x:c r="Q35" s="13" t="str">
        <x:v>This run packet1</x:v>
      </x:c>
    </x:row>
    <x:row r="36" ht="108" hidden="0" customHeight="1">
      <x:c r="A36" s="13" t="str">
        <x:v>RUN-SEM-0004</x:v>
      </x:c>
      <x:c r="B36" s="13" t="str">
        <x:v>BWmb5gILKC4</x:v>
      </x:c>
      <x:c r="C36" s="13" t="str">
        <x:v>Options Trading Lesson | Vertical Spreads vs Diagonal Spreads</x:v>
      </x:c>
      <x:c r="D36" s="13" t="str">
        <x:v>20240709</x:v>
      </x:c>
      <x:c r="E36" s="13" t="str">
        <x:v>preference_with_rationale</x:v>
      </x:c>
      <x:c r="F36" s="13" t="str">
        <x:v>The speaker does not let speculation about who buys the other side deter an options exit; possible counterparties include market makers and hedgers.</x:v>
      </x:c>
      <x:c r="G36" s="13" t="str">
        <x:v>UNKNOWN_OPTIONS_RESPONDENT</x:v>
      </x:c>
      <x:c r="H36" s="13" t="str">
        <x:v>WITHHELD_UNKNOWN_OR_OTHER_SPEAKER</x:v>
      </x:c>
      <x:c r="I36" s="13" t="str">
        <x:v>SEMANTICALLY_REVIEWED_THIS_RUN</x:v>
      </x:c>
      <x:c r="J36" s="13" t="str">
        <x:v>00:03:09.520</x:v>
      </x:c>
      <x:c r="K36" s="13" t="str">
        <x:v>00:04:24.360</x:v>
      </x:c>
      <x:c r="L36" s="13" t="str">
        <x:v>you're only up 10, 20% on the contract, who knows. But I could think of worse problems to have than be up 10, 20%. No, right? Yeah, actually got a looks like Philip had a good trade that he got out of too soon. $20 puts when the market went down, went up to $800 a couple of weeks ago, sold too early. Better get out now. Who's going to buy this? So, who's buying such an expensive put when the market can't even catch a bid? You know what? I never really worry about that. A lot of people I I've had people ask me that before, "Well, who's on the other side of the trade?" I don't care. You know what I mean? It's good to know like it's good to look at volume and open interest to see I guess to see where institutions might be hedging and what's going on, but there's really no rhyme or reason sometimes why someone would take the other side. It could just be a market maker trying to make the spread, who knows. It could be a hedge fund maybe hedging a position. It could be someone doing something else, part of a larger trade that you something more complicated that you have no idea what's going on. So, I never really let that bother me. If I'm if someone wants to buy a put that's that expensive, that's that's on them. You know what I mean? They might just be they might just be hedging or they might just have a more bearish stance than you, who knows.</x:v>
      </x:c>
      <x:c r="M36" s="13" t="str">
        <x:v>VERBATIM_SOURCE_CONTEXT</x:v>
      </x:c>
      <x:c r="N36" s="13" t="str">
        <x:v>B-02070</x:v>
      </x:c>
      <x:c r="O36" s="13" t="str">
        <x:v>Personal practice; volume/open-interest interpretation is separately tentative.</x:v>
      </x:c>
      <x:c r="P36" s="13" t="str">
        <x:v>https://www.youtube.com/watch?v=BWmb5gILKC4</x:v>
      </x:c>
      <x:c r="Q36" s="13" t="str">
        <x:v>This run packet1</x:v>
      </x:c>
    </x:row>
    <x:row r="37" ht="108" hidden="0" customHeight="1">
      <x:c r="A37" s="13" t="str">
        <x:v>RUN-SEM-0005</x:v>
      </x:c>
      <x:c r="B37" s="13" t="str">
        <x:v>EMwGgBOPERA</x:v>
      </x:c>
      <x:c r="C37" s="13" t="str">
        <x:v>Good Trade Ideas | Trading Seminar</x:v>
      </x:c>
      <x:c r="D37" s="13" t="str">
        <x:v>20150422</x:v>
      </x:c>
      <x:c r="E37" s="13" t="str">
        <x:v>risk_management_heuristic</x:v>
      </x:c>
      <x:c r="F37" s="13" t="str">
        <x:v>Recognizing difficult conditions and refusing to push exposure is presented as successful risk management even on a losing day.</x:v>
      </x:c>
      <x:c r="G37" s="13" t="str">
        <x:v>UNKNOWN_SEMINAR_SPEAKER</x:v>
      </x:c>
      <x:c r="H37" s="13" t="str">
        <x:v>WITHHELD_UNKNOWN_OR_OTHER_SPEAKER</x:v>
      </x:c>
      <x:c r="I37" s="13" t="str">
        <x:v>SEMANTICALLY_REVIEWED_THIS_RUN</x:v>
      </x:c>
      <x:c r="J37" s="13" t="str">
        <x:v>00:00:03.040</x:v>
      </x:c>
      <x:c r="K37" s="13" t="str">
        <x:v>00:01:18.109</x:v>
      </x:c>
      <x:c r="L37" s="13" t="str">
        <x:v>does everybody understand this is what mentoring is this is not about the perfect well Pete do you use Simple moving averages or exponential that's not the point the point is can you come up with good trade ideas and make money when you got them can you not lose money when it's a tougher condition how many people have ended a day where you say to yourself that was the best $300 I've ever lost because I recognized the conditions were tough and I didn't push it how many people can do that right now excellent that's where you want to get to now the next step for you which we will walk you through when you work with us is making money when you have a good day because I'm going to tell you right now a lot of people in this room still don't understand probabilities we're going to cover this in two seconds when you're a new Trader it bothers you when every single individual trade doesn't work out and and the individual losses and the individual uh thing you learn didn't follow through when you get to the next point which I want you to get through when you work with me it should bother you more when you don't make 3,000 because you only made a thousand you have to have some caterings in there while your business is making all those egg sandwiches you have to pay the bills with the trades where the expectations a little bit</x:v>
      </x:c>
      <x:c r="M37" s="13" t="str">
        <x:v>VERBATIM_SOURCE_CONTEXT</x:v>
      </x:c>
      <x:c r="N37" s="13" t="str">
        <x:v>B-02702</x:v>
      </x:c>
      <x:c r="O37" s="13" t="str">
        <x:v>Promotional seminar context; $300 is illustrative.</x:v>
      </x:c>
      <x:c r="P37" s="13" t="str">
        <x:v>https://www.youtube.com/watch?v=EMwGgBOPERA</x:v>
      </x:c>
      <x:c r="Q37" s="13" t="str">
        <x:v>This run packet1</x:v>
      </x:c>
    </x:row>
    <x:row r="38" ht="180" hidden="0" customHeight="1">
      <x:c r="A38" s="13" t="str">
        <x:v>RUN-SEM-0006</x:v>
      </x:c>
      <x:c r="B38" s="13" t="str">
        <x:v>EMwGgBOPERA</x:v>
      </x:c>
      <x:c r="C38" s="13" t="str">
        <x:v>Good Trade Ideas | Trading Seminar</x:v>
      </x:c>
      <x:c r="D38" s="13" t="str">
        <x:v>20150422</x:v>
      </x:c>
      <x:c r="E38" s="13" t="str">
        <x:v>conditional_management_framework</x:v>
      </x:c>
      <x:c r="F38" s="13" t="str">
        <x:v>The speaker distinguishes lower-expectation bill-paying trades from occasions that line up and merit pursuing larger profits.</x:v>
      </x:c>
      <x:c r="G38" s="13" t="str">
        <x:v>UNKNOWN_SEMINAR_SPEAKER</x:v>
      </x:c>
      <x:c r="H38" s="13" t="str">
        <x:v>WITHHELD_UNKNOWN_OR_OTHER_SPEAKER</x:v>
      </x:c>
      <x:c r="I38" s="13" t="str">
        <x:v>SEMANTICALLY_REVIEWED_THIS_RUN</x:v>
      </x:c>
      <x:c r="J38" s="13" t="str">
        <x:v>00:00:03.040</x:v>
      </x:c>
      <x:c r="K38" s="13" t="str">
        <x:v>00:02:21.390</x:v>
      </x:c>
      <x:c r="L38" s="13" t="str">
        <x:v>does everybody understand this is what mentoring is this is not about the perfect well Pete do you use Simple moving averages or exponential that's not the point the point is can you come up with good trade ideas and make money when you got them can you not lose money when it's a tougher condition how many people have ended a day where you say to yourself that was the best $300 I've ever lost because I recognized the conditions were tough and I didn't push it how many people can do that right now excellent that's where you want to get to now the next step for you which we will walk you through when you work with us is making money when you have a good day because I'm going to tell you right now a lot of people in this room still don't understand probabilities we're going to cover this in two seconds when you're a new Trader it bothers you when every single individual trade doesn't work out and and the individual losses and the individual uh thing you learn didn't follow through when you get to the next point which I want you to get through when you work with me it should bother you more when you don't make 3,000 because you only made a thousand you have to have some caterings in there while your business is making all those egg sandwiches you have to pay the bills with the trades where the expectations a little bit lower and when it lines up you bring in the big money but you have to understand the conditions to do that that's in game planning how many people here take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x:v>
      </x:c>
      <x:c r="M38" s="13" t="str">
        <x:v>VERBATIM_SOURCE_CONTEXT</x:v>
      </x:c>
      <x:c r="N38" s="13" t="str">
        <x:v>B-02702 | B-02703</x:v>
      </x:c>
      <x:c r="O38" s="13" t="str">
        <x:v>Conditions must be recognized; dollar figures are examples, not targets.</x:v>
      </x:c>
      <x:c r="P38" s="13" t="str">
        <x:v>https://www.youtube.com/watch?v=EMwGgBOPERA</x:v>
      </x:c>
      <x:c r="Q38" s="13" t="str">
        <x:v>This run packet1</x:v>
      </x:c>
    </x:row>
    <x:row r="39" ht="96" hidden="0" customHeight="1">
      <x:c r="A39" s="13" t="str">
        <x:v>RUN-SEM-0007</x:v>
      </x:c>
      <x:c r="B39" s="13" t="str">
        <x:v>EMwGgBOPERA</x:v>
      </x:c>
      <x:c r="C39" s="13" t="str">
        <x:v>Good Trade Ideas | Trading Seminar</x:v>
      </x:c>
      <x:c r="D39" s="13" t="str">
        <x:v>20150422</x:v>
      </x:c>
      <x:c r="E39" s="13" t="str">
        <x:v>conditional_recommendation</x:v>
      </x:c>
      <x:c r="F39" s="13" t="str">
        <x:v>If game planning takes more than an hour, the speaker recommends reducing the ideas considered, with an exception for extraordinarily well-funded traders.</x:v>
      </x:c>
      <x:c r="G39" s="13" t="str">
        <x:v>UNKNOWN_SEMINAR_SPEAKER</x:v>
      </x:c>
      <x:c r="H39" s="13" t="str">
        <x:v>WITHHELD_UNKNOWN_OR_OTHER_SPEAKER</x:v>
      </x:c>
      <x:c r="I39" s="13" t="str">
        <x:v>SEMANTICALLY_REVIEWED_THIS_RUN</x:v>
      </x:c>
      <x:c r="J39" s="13" t="str">
        <x:v>00:01:05.400</x:v>
      </x:c>
      <x:c r="K39" s="13" t="str">
        <x:v>00:02:21.390</x:v>
      </x:c>
      <x:c r="L39" s="13" t="str">
        <x:v>you don't make 3,000 because you only made a thousand you have to have some caterings in there while your business is making all those egg sandwiches you have to pay the bills with the trades where the expectations a little bit lower and when it lines up you bring in the big money but you have to understand the conditions to do that that's in game planning how many people here take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x:v>
      </x:c>
      <x:c r="M39" s="13" t="str">
        <x:v>VERBATIM_SOURCE_CONTEXT</x:v>
      </x:c>
      <x:c r="N39" s="13" t="str">
        <x:v>B-02703</x:v>
      </x:c>
      <x:c r="O39" s="13" t="str">
        <x:v>One-hour limit is the speaker's recommendation with a stated exception.</x:v>
      </x:c>
      <x:c r="P39" s="13" t="str">
        <x:v>https://www.youtube.com/watch?v=EMwGgBOPERA</x:v>
      </x:c>
      <x:c r="Q39" s="13" t="str">
        <x:v>This run packet1</x:v>
      </x:c>
    </x:row>
    <x:row r="40" ht="96" hidden="0" customHeight="1">
      <x:c r="A40" s="13" t="str">
        <x:v>RUN-SEM-0008</x:v>
      </x:c>
      <x:c r="B40" s="13" t="str">
        <x:v>EMwGgBOPERA</x:v>
      </x:c>
      <x:c r="C40" s="13" t="str">
        <x:v>Good Trade Ideas | Trading Seminar</x:v>
      </x:c>
      <x:c r="D40" s="13" t="str">
        <x:v>20150422</x:v>
      </x:c>
      <x:c r="E40" s="13" t="str">
        <x:v>conditional_process</x:v>
      </x:c>
      <x:c r="F40" s="13" t="str">
        <x:v>Define what must appear before acting; if it does not appear, do nothing, and allocate attention/capital across a limited number of ideas.</x:v>
      </x:c>
      <x:c r="G40" s="13" t="str">
        <x:v>UNKNOWN_SEMINAR_SPEAKER</x:v>
      </x:c>
      <x:c r="H40" s="13" t="str">
        <x:v>WITHHELD_UNKNOWN_OR_OTHER_SPEAKER</x:v>
      </x:c>
      <x:c r="I40" s="13" t="str">
        <x:v>SEMANTICALLY_REVIEWED_THIS_RUN</x:v>
      </x:c>
      <x:c r="J40" s="13" t="str">
        <x:v>00:01:05.400</x:v>
      </x:c>
      <x:c r="K40" s="13" t="str">
        <x:v>00:02:21.390</x:v>
      </x:c>
      <x:c r="L40" s="13" t="str">
        <x:v>you don't make 3,000 because you only made a thousand you have to have some caterings in there while your business is making all those egg sandwiches you have to pay the bills with the trades where the expectations a little bit lower and when it lines up you bring in the big money but you have to understand the conditions to do that that's in game planning how many people here take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x:v>
      </x:c>
      <x:c r="M40" s="13" t="str">
        <x:v>VERBATIM_SOURCE_CONTEXT</x:v>
      </x:c>
      <x:c r="N40" s="13" t="str">
        <x:v>B-02703</x:v>
      </x:c>
      <x:c r="O40" s="13" t="str">
        <x:v>Game-planning process.</x:v>
      </x:c>
      <x:c r="P40" s="13" t="str">
        <x:v>https://www.youtube.com/watch?v=EMwGgBOPERA</x:v>
      </x:c>
      <x:c r="Q40" s="13" t="str">
        <x:v>This run packet1</x:v>
      </x:c>
    </x:row>
    <x:row r="41" ht="156" hidden="0" customHeight="1">
      <x:c r="A41" s="13" t="str">
        <x:v>RUN-SEM-0009</x:v>
      </x:c>
      <x:c r="B41" s="13" t="str">
        <x:v>EMwGgBOPERA</x:v>
      </x:c>
      <x:c r="C41" s="13" t="str">
        <x:v>Good Trade Ideas | Trading Seminar</x:v>
      </x:c>
      <x:c r="D41" s="13" t="str">
        <x:v>20150422</x:v>
      </x:c>
      <x:c r="E41" s="13" t="str">
        <x:v>resource_matching_principle</x:v>
      </x:c>
      <x:c r="F41" s="13" t="str">
        <x:v>Match stock selection, volatility and intended holding time to skills, experience, capital and available screen time.</x:v>
      </x:c>
      <x:c r="G41" s="13" t="str">
        <x:v>UNKNOWN_SEMINAR_SPEAKER</x:v>
      </x:c>
      <x:c r="H41" s="13" t="str">
        <x:v>WITHHELD_UNKNOWN_OR_OTHER_SPEAKER</x:v>
      </x:c>
      <x:c r="I41" s="13" t="str">
        <x:v>SEMANTICALLY_REVIEWED_THIS_RUN</x:v>
      </x:c>
      <x:c r="J41" s="13" t="str">
        <x:v>00:01:05.400</x:v>
      </x:c>
      <x:c r="K41" s="13" t="str">
        <x:v>00:02:59.400</x:v>
      </x:c>
      <x:c r="L41" s="13" t="str">
        <x:v>you don't make 3,000 because you only made a thousand you have to have some caterings in there while your business is making all those egg sandwiches you have to pay the bills with the trades where the expectations a little bit lower and when it lines up you bring in the big money but you have to understand the conditions to do that that's in game planning how many people here take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 have to get behind the car behind the wheel and drive the car and drive it in different conditions and then be able to ask somebody Pete I see the tix is doing this I see the vix is doing that I see those three stocks are doing that what do you think about the stock I think the Stock's definitely along but it's not along right now because you have to risk a quarter to make a quarter you're going to be a break even Trader let's wait on that trade until it gets up to yesterday's high if it flags at yesterday's high and it does it on light volume and the vix comes down the tick start to push up and the market is well bid then we start to push it all of these things go into every trading decision this is what you need to learn if you are not achieving what you want to achieve right now</x:v>
      </x:c>
      <x:c r="M41" s="13" t="str">
        <x:v>VERBATIM_SOURCE_CONTEXT</x:v>
      </x:c>
      <x:c r="N41" s="13" t="str">
        <x:v>B-02703 | B-02704</x:v>
      </x:c>
      <x:c r="O41" s="13" t="str">
        <x:v>General teaching in a promotional seminar.</x:v>
      </x:c>
      <x:c r="P41" s="13" t="str">
        <x:v>https://www.youtube.com/watch?v=EMwGgBOPERA</x:v>
      </x:c>
      <x:c r="Q41" s="13" t="str">
        <x:v>This run packet1</x:v>
      </x:c>
    </x:row>
    <x:row r="42" ht="84" hidden="0" customHeight="1">
      <x:c r="A42" s="13" t="str">
        <x:v>RUN-SEM-0010</x:v>
      </x:c>
      <x:c r="B42" s="13" t="str">
        <x:v>EMwGgBOPERA</x:v>
      </x:c>
      <x:c r="C42" s="13" t="str">
        <x:v>Good Trade Ideas | Trading Seminar</x:v>
      </x:c>
      <x:c r="D42" s="13" t="str">
        <x:v>20150422</x:v>
      </x:c>
      <x:c r="E42" s="13" t="str">
        <x:v>conditional_example</x:v>
      </x:c>
      <x:c r="F42" s="13" t="str">
        <x:v>A stock can be a long idea without being a worthwhile long entry now; the example waits for a light-volume flag near yesterday's high and supportive VIX, ticks and market conditions.</x:v>
      </x:c>
      <x:c r="G42" s="13" t="str">
        <x:v>UNKNOWN_SEMINAR_SPEAKER</x:v>
      </x:c>
      <x:c r="H42" s="13" t="str">
        <x:v>WITHHELD_UNKNOWN_OR_OTHER_SPEAKER</x:v>
      </x:c>
      <x:c r="I42" s="13" t="str">
        <x:v>SEMANTICALLY_REVIEWED_THIS_RUN</x:v>
      </x:c>
      <x:c r="J42" s="13" t="str">
        <x:v>00:02:07.880</x:v>
      </x:c>
      <x:c r="K42" s="13" t="str">
        <x:v>00:02:59.400</x:v>
      </x:c>
      <x:c r="L42" s="13" t="str">
        <x:v>plan on holding them but I'm going to tell you right now out of everybody in this room who I'm sure at this point knows how to look at a chart you don't learn how to trade just by being the best technical analyst on the planet you have to get behind the car behind the wheel and drive the car and drive it in different conditions and then be able to ask somebody Pete I see the tix is doing this I see the vix is doing that I see those three stocks are doing that what do you think about the stock I think the Stock's definitely along but it's not along right now because you have to risk a quarter to make a quarter you're going to be a break even Trader let's wait on that trade until it gets up to yesterday's high if it flags at yesterday's high and it does it on light volume and the vix comes down the tick start to push up and the market is well bid then we start to push it all of these things go into every trading decision this is what you need to learn if you are not achieving what you want to achieve right now</x:v>
      </x:c>
      <x:c r="M42" s="13" t="str">
        <x:v>VERBATIM_SOURCE_CONTEXT</x:v>
      </x:c>
      <x:c r="N42" s="13" t="str">
        <x:v>B-02704</x:v>
      </x:c>
      <x:c r="O42" s="13" t="str">
        <x:v>Conditional chart example; caption 'along' means apparent 'a long', retained verbatim in evidence.</x:v>
      </x:c>
      <x:c r="P42" s="13" t="str">
        <x:v>https://www.youtube.com/watch?v=EMwGgBOPERA</x:v>
      </x:c>
      <x:c r="Q42" s="13" t="str">
        <x:v>This run packet1</x:v>
      </x:c>
    </x:row>
    <x:row r="43" ht="108" hidden="0" customHeight="1">
      <x:c r="A43" s="13" t="str">
        <x:v>RUN-SEM-0011</x:v>
      </x:c>
      <x:c r="B43" s="13" t="str">
        <x:v>FlmSNZ080uE</x:v>
      </x:c>
      <x:c r="C43" s="13" t="str">
        <x:v>Coming Swing Trades 4 21 21</x:v>
      </x:c>
      <x:c r="D43" s="13" t="str">
        <x:v>20210421</x:v>
      </x:c>
      <x:c r="E43" s="13" t="str">
        <x:v>process_example</x:v>
      </x:c>
      <x:c r="F43" s="13" t="str">
        <x:v>The speaker watches for accumulation/distribution after moves and uses repeated volume spikes and a price-level recovery in NIO as evidence of a possible trend change.</x:v>
      </x:c>
      <x:c r="G43" s="13" t="str">
        <x:v>UNKNOWN_SOLO_SPEAKER</x:v>
      </x:c>
      <x:c r="H43" s="13" t="str">
        <x:v>WITHHELD_UNKNOWN_OR_OTHER_SPEAKER</x:v>
      </x:c>
      <x:c r="I43" s="13" t="str">
        <x:v>SEMANTICALLY_REVIEWED_THIS_RUN</x:v>
      </x:c>
      <x:c r="J43" s="13" t="str">
        <x:v>00:00:00.320</x:v>
      </x:c>
      <x:c r="K43" s="13" t="str">
        <x:v>00:01:16.230</x:v>
      </x:c>
      <x:c r="L43" s="13" t="str">
        <x:v>hey everybody i just wanted to give you an update on some of the swings that we're looking at some ideas that we haven't traded in a while are coming back uh from the dead today and pretty exciting because a lot of them are relatively affordable uh so we all know about tesla right that's not necessarily one of the affordable ones uh but we did call a bottom in neo uh early last week for those of you that are newer to the community one of the things that we do is we watch for accumulation and distribution after an up move or a down move in this case it was a down move where volume started to spike three different times at this level on the way down uh and we called the bottom over here at 35 and changed getting above 42 would be a confirmed change in this downtrend so we might enter a first piece over here before we look for it to uh make the move to the upside but this is by far one of the most exciting lower price stocks that we're looking at right now a couple of other ones q s also seeing the same type of thing when it gets down we've got to get back above 40 41 over here but it's turning around just a little bit today uh in a pretty good way again we talk about all the time there's a difference between the stocks you're trading now versus the stocks you put into your watch list lazr is one that we were trading pretty aggressively last year it looks like we're getting</x:v>
      </x:c>
      <x:c r="M43" s="13" t="str">
        <x:v>VERBATIM_SOURCE_CONTEXT</x:v>
      </x:c>
      <x:c r="N43" s="13" t="str">
        <x:v>B-02871</x:v>
      </x:c>
      <x:c r="O43" s="13" t="str">
        <x:v>Historical NIO case; levels are not current recommendations.</x:v>
      </x:c>
      <x:c r="P43" s="13" t="str">
        <x:v>https://www.youtube.com/watch?v=FlmSNZ080uE</x:v>
      </x:c>
      <x:c r="Q43" s="13" t="str">
        <x:v>This run packet1</x:v>
      </x:c>
    </x:row>
    <x:row r="44" ht="240" hidden="0" customHeight="1">
      <x:c r="A44" s="13" t="str">
        <x:v>RUN-SEM-0012</x:v>
      </x:c>
      <x:c r="B44" s="13" t="str">
        <x:v>FlmSNZ080uE</x:v>
      </x:c>
      <x:c r="C44" s="13" t="str">
        <x:v>Coming Swing Trades 4 21 21</x:v>
      </x:c>
      <x:c r="D44" s="13" t="str">
        <x:v>20210421</x:v>
      </x:c>
      <x:c r="E44" s="13" t="str">
        <x:v>selection_process</x:v>
      </x:c>
      <x:c r="F44" s="13" t="str">
        <x:v>Separate stocks ready to trade from watch-list ideas whose confirmation has not arrived.</x:v>
      </x:c>
      <x:c r="G44" s="13" t="str">
        <x:v>UNKNOWN_SOLO_SPEAKER</x:v>
      </x:c>
      <x:c r="H44" s="13" t="str">
        <x:v>WITHHELD_UNKNOWN_OR_OTHER_SPEAKER</x:v>
      </x:c>
      <x:c r="I44" s="13" t="str">
        <x:v>SEMANTICALLY_REVIEWED_THIS_RUN</x:v>
      </x:c>
      <x:c r="J44" s="13" t="str">
        <x:v>00:00:00.320</x:v>
      </x:c>
      <x:c r="K44" s="13" t="str">
        <x:v>00:03:08.879</x:v>
      </x:c>
      <x:c r="L44" s="13" t="str">
        <x:v>hey everybody i just wanted to give you an update on some of the swings that we're looking at some ideas that we haven't traded in a while are coming back uh from the dead today and pretty exciting because a lot of them are relatively affordable uh so we all know about tesla right that's not necessarily one of the affordable ones uh but we did call a bottom in neo uh early last week for those of you that are newer to the community one of the things that we do is we watch for accumulation and distribution after an up move or a down move in this case it was a down move where volume started to spike three different times at this level on the way down uh and we called the bottom over here at 35 and changed getting above 42 would be a confirmed change in this downtrend so we might enter a first piece over here before we look for it to uh make the move to the upside but this is by far one of the most exciting lower price stocks that we're looking at right now a couple of other ones q s also seeing the same type of thing when it gets down we've got to get back above 40 41 over here but it's turning around just a little bit today uh in a pretty good way again we talk about all the time there's a difference between the stocks you're trading now versus the stocks you put into your watch list lazr is one that we were trading pretty aggressively last year it looks like we're getting signs of accumulation not quite yet but interesting general motors actually perking up today too into what we call a bullish u-turn not liking the volume that i'm seeing on yesterday the volume is heavy you can see it was above the average but this is promising especially the fact we made it all the way back to yesterday's high which is exciting cannabis stocks are a group that we're watching here again we've been watching grwg for a while and again you know that we like to trade the market leaders you know that we like to trade their uh leaders within those groups uh grwg seems to be the leader here it's been holding up we really thought this day was going to break out it didn't so we just left it alone but the sector as a whole is seeing some buying today so i'm just giving you a heads up into some ideas that are coming down the pipe same thing here with c g c you can see this downtrend line is still valid got to get above 28 but some exciting stuff happening here right now so um again another bullet u-turn here we're not looking to get in early but we do like the fact that they're reversing right now e-n-p-h again solar's new administration hopefully getting something here you can see here last year to give you some context of why we like these stocks look at what jks did last year this was basically a money machine for a couple of months we still have to break this longer term downtrend but we are seeing some buying today so giving you a heads up into some stocks that are coming back into our radar and you're gonna start to see me make some calls okay so just keep these lists and your own watch list and as we see them unfold i'll call out the new ideas for you but this is a part of trading this is a part of really being on top of the game is finding these ideas before they become obvious to everybody and i think this qual and neo that we've made is a good lesson here as well</x:v>
      </x:c>
      <x:c r="M44" s="13" t="str">
        <x:v>VERBATIM_SOURCE_CONTEXT</x:v>
      </x:c>
      <x:c r="N44" s="13" t="str">
        <x:v>B-02871 | B-02872 | B-02873</x:v>
      </x:c>
      <x:c r="O44" s="13" t="str">
        <x:v>Reversal watch-list context; GM/solar examples retain caveats about volume/downtrend.</x:v>
      </x:c>
      <x:c r="P44" s="13" t="str">
        <x:v>https://www.youtube.com/watch?v=FlmSNZ080uE</x:v>
      </x:c>
      <x:c r="Q44" s="13" t="str">
        <x:v>This run packet1</x:v>
      </x:c>
    </x:row>
    <x:row r="45" ht="108" hidden="0" customHeight="1">
      <x:c r="A45" s="13" t="str">
        <x:v>RUN-SEM-0013</x:v>
      </x:c>
      <x:c r="B45" s="13" t="str">
        <x:v>FlmSNZ080uE</x:v>
      </x:c>
      <x:c r="C45" s="13" t="str">
        <x:v>Coming Swing Trades 4 21 21</x:v>
      </x:c>
      <x:c r="D45" s="13" t="str">
        <x:v>20210421</x:v>
      </x:c>
      <x:c r="E45" s="13" t="str">
        <x:v>selection_preference</x:v>
      </x:c>
      <x:c r="F45" s="13" t="str">
        <x:v>The speaker prefers leaders within groups and leaves a watched stock alone when the anticipated breakout fails to occur.</x:v>
      </x:c>
      <x:c r="G45" s="13" t="str">
        <x:v>UNKNOWN_SOLO_SPEAKER</x:v>
      </x:c>
      <x:c r="H45" s="13" t="str">
        <x:v>WITHHELD_UNKNOWN_OR_OTHER_SPEAKER</x:v>
      </x:c>
      <x:c r="I45" s="13" t="str">
        <x:v>SEMANTICALLY_REVIEWED_THIS_RUN</x:v>
      </x:c>
      <x:c r="J45" s="13" t="str">
        <x:v>00:01:01.520</x:v>
      </x:c>
      <x:c r="K45" s="13" t="str">
        <x:v>00:02:16.869</x:v>
      </x:c>
      <x:c r="L45" s="13" t="str">
        <x:v>just a little bit today uh in a pretty good way again we talk about all the time there's a difference between the stocks you're trading now versus the stocks you put into your watch list lazr is one that we were trading pretty aggressively last year it looks like we're getting signs of accumulation not quite yet but interesting general motors actually perking up today too into what we call a bullish u-turn not liking the volume that i'm seeing on yesterday the volume is heavy you can see it was above the average but this is promising especially the fact we made it all the way back to yesterday's high which is exciting cannabis stocks are a group that we're watching here again we've been watching grwg for a while and again you know that we like to trade the market leaders you know that we like to trade their uh leaders within those groups uh grwg seems to be the leader here it's been holding up we really thought this day was going to break out it didn't so we just left it alone but the sector as a whole is seeing some buying today so i'm just giving you a heads up into some ideas that are coming down the pipe same thing here with c g c you can see this downtrend line is still valid got to get above 28 but some exciting stuff happening here right now so um again another bullet u-turn here we're not looking to get in early but we do like the fact that</x:v>
      </x:c>
      <x:c r="M45" s="13" t="str">
        <x:v>VERBATIM_SOURCE_CONTEXT</x:v>
      </x:c>
      <x:c r="N45" s="13" t="str">
        <x:v>B-02872</x:v>
      </x:c>
      <x:c r="O45" s="13" t="str">
        <x:v>GRWG case; no universal breakout-failure stop rule inferred.</x:v>
      </x:c>
      <x:c r="P45" s="13" t="str">
        <x:v>https://www.youtube.com/watch?v=FlmSNZ080uE</x:v>
      </x:c>
      <x:c r="Q45" s="13" t="str">
        <x:v>This run packet1</x:v>
      </x:c>
    </x:row>
    <x:row r="46" ht="192" hidden="0" customHeight="1">
      <x:c r="A46" s="13" t="str">
        <x:v>RUN-SEM-0014</x:v>
      </x:c>
      <x:c r="B46" s="13" t="str">
        <x:v>HhD8HHmMleU</x:v>
      </x:c>
      <x:c r="C46" s="13" t="str">
        <x:v>Options Trading Insight | Stock Price or Strike Price?</x:v>
      </x:c>
      <x:c r="D46" s="13" t="str">
        <x:v>20240709</x:v>
      </x:c>
      <x:c r="E46" s="13" t="str">
        <x:v>preference_with_rationale</x:v>
      </x:c>
      <x:c r="F46" s="13" t="str">
        <x:v>The respondent addressed as John favors at-the-money options over using a distant stock target as the strike, citing probability, time and volatility sensitivity; he acknowledges larger potential rewards if the distant-target trade is exactly right.</x:v>
      </x:c>
      <x:c r="G46" s="13" t="str">
        <x:v>JOHN_ADDRESSED_SURNAME_UNRESOLVED</x:v>
      </x:c>
      <x:c r="H46" s="13" t="str">
        <x:v>WITHHELD_UNKNOWN_OR_OTHER_SPEAKER</x:v>
      </x:c>
      <x:c r="I46" s="13" t="str">
        <x:v>SEMANTICALLY_REVIEWED_THIS_RUN</x:v>
      </x:c>
      <x:c r="J46" s="13" t="str">
        <x:v>00:00:00.040</x:v>
      </x:c>
      <x:c r="K46" s="13" t="str">
        <x:v>00:02:28.800</x:v>
      </x:c>
      <x:c r="L46" s="13" t="str">
        <x:v>I'm going to throw a couple questions in here John Robert has a question so it says here Robert what about buying an option at the strike price of the Stock's Target price so a stock is trading at 20 that is that's definitely a strategy a lot of Traders use but again what you're essentially doing is you're it's almost like a gamble you're buying an out-of- the- money call with the idea that it's going to reach that Target so a lot of Traders do that but I don't really I'm not a big fan of that for a couple reasons number one you have a lower probability trade which I don't like that's number one and number two the time is not on your side and you basically you have to be perfectly correct in order to succeed in a trade like that I like being right at making money most of the time that's like the main difference when you pick an at the money strike for instance you're picking the strike price that has the highest possibility of benefiting from Vega or volatility so so the stock price the at the money strike price has the highest Vega which you want when you want an acceleration of stock move stock price movement so I'm a big fan of at the money I know a lot of Traders like to play around with picking a Target and using that as their strike price not a fan only because it's just it's a lower probability trade that's interesting okay it's so interesting when you start getting into different deeper into becoming a Trader when we all first start trading whether it's stocks or options we're like we just want to make money but then as you gain more experience it the focus now shifts more to consistency and the likelihood of making money or as you're wording it there probability I think it's very interesting you can actually and this is nothing on Robert that was a great question but you can always tell where somebody is in their Trader Journey based on the question are they talking about risk first or are they talking about making money first are they talking about probability or how much they could make it's fun to to do that because then you can easily not have a rebuttal to that but just give a different perspective like you just did the upside to upside to what Robert suggest Ed right if you're perfectly correct if it actually reaches that Target in the a lot of time that you choose right you're going to make a lot of money or because you'll probably be able to afford more contracts so that's the upside so it's a high prob it's a low probability High reward high-risk trade and if you're okay with that's on you me I like to be I'm a horses shoes and Hand Grenades kind of guy that's just my style okay</x:v>
      </x:c>
      <x:c r="M46" s="13" t="str">
        <x:v>VERBATIM_SOURCE_CONTEXT</x:v>
      </x:c>
      <x:c r="N46" s="13" t="str">
        <x:v>B-03209 | B-03210 | B-03211</x:v>
      </x:c>
      <x:c r="O46" s="13" t="str">
        <x:v>Do not attribute the respondent's preference to Pete; opening address supports first name only.</x:v>
      </x:c>
      <x:c r="P46" s="13" t="str">
        <x:v>https://www.youtube.com/watch?v=HhD8HHmMleU</x:v>
      </x:c>
      <x:c r="Q46" s="13" t="str">
        <x:v>This run packet1</x:v>
      </x:c>
    </x:row>
    <x:row r="47" ht="108" hidden="0" customHeight="1">
      <x:c r="A47" s="13" t="str">
        <x:v>RUN-SEM-0015</x:v>
      </x:c>
      <x:c r="B47" s="13" t="str">
        <x:v>HhD8HHmMleU</x:v>
      </x:c>
      <x:c r="C47" s="13" t="str">
        <x:v>Options Trading Insight | Stock Price or Strike Price?</x:v>
      </x:c>
      <x:c r="D47" s="13" t="str">
        <x:v>20240709</x:v>
      </x:c>
      <x:c r="E47" s="13" t="str">
        <x:v>learning_observation</x:v>
      </x:c>
      <x:c r="F47" s="13" t="str">
        <x:v>Another speaker describes trader questions shifting from making money toward risk, consistency and probability as experience grows.</x:v>
      </x:c>
      <x:c r="G47" s="13" t="str">
        <x:v>UNKNOWN_INTERVIEWER</x:v>
      </x:c>
      <x:c r="H47" s="13" t="str">
        <x:v>WITHHELD_UNKNOWN_OR_OTHER_SPEAKER</x:v>
      </x:c>
      <x:c r="I47" s="13" t="str">
        <x:v>SEMANTICALLY_REVIEWED_THIS_RUN</x:v>
      </x:c>
      <x:c r="J47" s="13" t="str">
        <x:v>00:01:04.159</x:v>
      </x:c>
      <x:c r="K47" s="13" t="str">
        <x:v>00:02:20.309</x:v>
      </x:c>
      <x:c r="L47" s="13" t="str">
        <x:v>movement so I'm a big fan of at the money I know a lot of Traders like to play around with picking a Target and using that as their strike price not a fan only because it's just it's a lower probability trade that's interesting okay it's so interesting when you start getting into different deeper into becoming a Trader when we all first start trading whether it's stocks or options we're like we just want to make money but then as you gain more experience it the focus now shifts more to consistency and the likelihood of making money or as you're wording it there probability I think it's very interesting you can actually and this is nothing on Robert that was a great question but you can always tell where somebody is in their Trader Journey based on the question are they talking about risk first or are they talking about making money first are they talking about probability or how much they could make it's fun to to do that because then you can easily not have a rebuttal to that but just give a different perspective like you just did the upside to upside to what Robert suggest Ed right if you're perfectly correct if it actually reaches that Target in the a lot of time that you choose right you're going to make a lot of money or because you'll probably be able to afford more contracts so that's the upside so it's a high prob it's a low probability High reward high-risk trade and if you're okay with that's on</x:v>
      </x:c>
      <x:c r="M47" s="13" t="str">
        <x:v>VERBATIM_SOURCE_CONTEXT</x:v>
      </x:c>
      <x:c r="N47" s="13" t="str">
        <x:v>B-03210</x:v>
      </x:c>
      <x:c r="O47" s="13" t="str">
        <x:v>Turn boundary inferred from response; identities unresolved.</x:v>
      </x:c>
      <x:c r="P47" s="13" t="str">
        <x:v>https://www.youtube.com/watch?v=HhD8HHmMleU</x:v>
      </x:c>
      <x:c r="Q47" s="13" t="str">
        <x:v>This run packet1</x:v>
      </x:c>
    </x:row>
    <x:row r="48" ht="144" hidden="0" customHeight="1">
      <x:c r="A48" s="13" t="str">
        <x:v>RUN-SEM-0016</x:v>
      </x:c>
      <x:c r="B48" s="13" t="str">
        <x:v>rNSRWFzQNNc</x:v>
      </x:c>
      <x:c r="C48" s="13" t="str">
        <x:v>Options Trading Pro | The Difference of Intrinsic Value vs Extrinsic Value</x:v>
      </x:c>
      <x:c r="D48" s="13" t="str">
        <x:v>20240709</x:v>
      </x:c>
      <x:c r="E48" s="13" t="str">
        <x:v>definition</x:v>
      </x:c>
      <x:c r="F48" s="13" t="str">
        <x:v>For the call examples, intrinsic value is the present exercise advantage: a 190-strike call on a $200 stock has $10, while a 200-strike call at $200 has zero.</x:v>
      </x:c>
      <x:c r="G48" s="13" t="str">
        <x:v>UNKNOWN_OPTIONS_RESPONDENT</x:v>
      </x:c>
      <x:c r="H48" s="13" t="str">
        <x:v>WITHHELD_UNKNOWN_OR_OTHER_SPEAKER</x:v>
      </x:c>
      <x:c r="I48" s="13" t="str">
        <x:v>SEMANTICALLY_REVIEWED_THIS_RUN</x:v>
      </x:c>
      <x:c r="J48" s="13" t="str">
        <x:v>00:00:00.120</x:v>
      </x:c>
      <x:c r="K48" s="13" t="str">
        <x:v>00:01:58.200</x:v>
      </x:c>
      <x:c r="L48" s="13" t="str">
        <x:v>complicated question but intrinsic value in options can you give a quick update quick explainer on that yeah that's one of the very first things we touch on in our class because it's very important to know money so in the money options have intrinsic value so basically the strike prices is lower for call it would be lower than the current price so what you're doing is when you're buying an option that's in the money you have a coupon that says hey I have the right to buy this at a cheaper price than where it's trading that's an in the money option right so if something's trading at $200 and you have a 190 strike call option you know your intrinsic value is $10 because no there's no such thing as a free lunch right no one in their right mind is going to trade that for less than $10 because that's what it's worth you have the right to do something at 190 that is trading at 200 right now so that's all intrinsic value is it's the absolute value of that coupon you're buying right now if you're buying something that's at the money if you buy the $200 call option and it's trading at $200 your intrinsic value is zero so that option is not going to trade at zero there's still some idea where you have volatility and time in there those are the other components of the Greeks that go into option pricing so you might pay $2 and I don't know you might pay 205 for an at the money option right so that $5 is extrinsic value I like to call that the smoke and mirrors that's the that's the volatility and time component so every option has two components intrinsic and extrinsic sometimes it's zero for intrinsic but then there's always extrinsic until you reach expiration at the very moment of at the very moment of expiration when the option's about to go to heaven and die all is left is intrinsic value or zero terminology here today this is awesome Yep</x:v>
      </x:c>
      <x:c r="M48" s="13" t="str">
        <x:v>VERBATIM_SOURCE_CONTEXT</x:v>
      </x:c>
      <x:c r="N48" s="13" t="str">
        <x:v>B-09169 | B-09170</x:v>
      </x:c>
      <x:c r="O48" s="13" t="str">
        <x:v>Call examples only; do not generalize the lower-strike relation to puts.</x:v>
      </x:c>
      <x:c r="P48" s="13" t="str">
        <x:v>https://www.youtube.com/watch?v=rNSRWFzQNNc</x:v>
      </x:c>
      <x:c r="Q48" s="13" t="str">
        <x:v>This run packet1</x:v>
      </x:c>
    </x:row>
    <x:row r="49" ht="60" hidden="0" customHeight="1">
      <x:c r="A49" s="13" t="str">
        <x:v>RUN-SEM-0017</x:v>
      </x:c>
      <x:c r="B49" s="13" t="str">
        <x:v>rNSRWFzQNNc</x:v>
      </x:c>
      <x:c r="C49" s="13" t="str">
        <x:v>Options Trading Pro | The Difference of Intrinsic Value vs Extrinsic Value</x:v>
      </x:c>
      <x:c r="D49" s="13" t="str">
        <x:v>20240709</x:v>
      </x:c>
      <x:c r="E49" s="13" t="str">
        <x:v>definition</x:v>
      </x:c>
      <x:c r="F49" s="13" t="str">
        <x:v>The speaker distinguishes intrinsic value from extrinsic value associated with time and volatility, and says only intrinsic value or zero remains at expiration.</x:v>
      </x:c>
      <x:c r="G49" s="13" t="str">
        <x:v>UNKNOWN_OPTIONS_RESPONDENT</x:v>
      </x:c>
      <x:c r="H49" s="13" t="str">
        <x:v>WITHHELD_UNKNOWN_OR_OTHER_SPEAKER</x:v>
      </x:c>
      <x:c r="I49" s="13" t="str">
        <x:v>SEMANTICALLY_REVIEWED_THIS_RUN</x:v>
      </x:c>
      <x:c r="J49" s="13" t="str">
        <x:v>00:01:03.199</x:v>
      </x:c>
      <x:c r="K49" s="13" t="str">
        <x:v>00:01:58.200</x:v>
      </x:c>
      <x:c r="L49" s="13" t="str">
        <x:v>$200 your intrinsic value is zero so that option is not going to trade at zero there's still some idea where you have volatility and time in there those are the other components of the Greeks that go into option pricing so you might pay $2 and I don't know you might pay 205 for an at the money option right so that $5 is extrinsic value I like to call that the smoke and mirrors that's the that's the volatility and time component so every option has two components intrinsic and extrinsic sometimes it's zero for intrinsic but then there's always extrinsic until you reach expiration at the very moment of at the very moment of expiration when the option's about to go to heaven and die all is left is intrinsic value or zero terminology here today this is awesome Yep</x:v>
      </x:c>
      <x:c r="M49" s="13" t="str">
        <x:v>VERBATIM_SOURCE_CONTEXT</x:v>
      </x:c>
      <x:c r="N49" s="13" t="str">
        <x:v>B-09170</x:v>
      </x:c>
      <x:c r="O49" s="13" t="str">
        <x:v>Caption example of '205' is ambiguous; do not normalize it into a precise premium.</x:v>
      </x:c>
      <x:c r="P49" s="13" t="str">
        <x:v>https://www.youtube.com/watch?v=rNSRWFzQNNc</x:v>
      </x:c>
      <x:c r="Q49" s="13" t="str">
        <x:v>This run packet1</x:v>
      </x:c>
    </x:row>
    <x:row r="50" ht="96" hidden="0" customHeight="1">
      <x:c r="A50" s="13" t="str">
        <x:v>RUN-SEM-0018</x:v>
      </x:c>
      <x:c r="B50" s="13" t="str">
        <x:v>rcS-7s7A4sQ</x:v>
      </x:c>
      <x:c r="C50" s="13" t="str">
        <x:v>Options Trading Insight | Adjusting Your Trades When the Market Rolls</x:v>
      </x:c>
      <x:c r="D50" s="13" t="str">
        <x:v>20240709</x:v>
      </x:c>
      <x:c r="E50" s="13" t="str">
        <x:v>conditional_management_example</x:v>
      </x:c>
      <x:c r="F50" s="13" t="str">
        <x:v>With only $10 left to collect from a $200 credit near expiration, the speaker illustrates closing and rolling rather than taking a market-event risk for the remaining credit.</x:v>
      </x:c>
      <x:c r="G50" s="13" t="str">
        <x:v>UNKNOWN_OPTIONS_RESPONDENT</x:v>
      </x:c>
      <x:c r="H50" s="13" t="str">
        <x:v>WITHHELD_UNKNOWN_OR_OTHER_SPEAKER</x:v>
      </x:c>
      <x:c r="I50" s="13" t="str">
        <x:v>SEMANTICALLY_REVIEWED_THIS_RUN</x:v>
      </x:c>
      <x:c r="J50" s="13" t="str">
        <x:v>00:00:00.040</x:v>
      </x:c>
      <x:c r="K50" s="13" t="str">
        <x:v>00:01:17.109</x:v>
      </x:c>
      <x:c r="L50" s="13" t="str">
        <x:v>I got a question here would you be able to roll credit spread like selling a naked option yeah what you do is if you have a net credit let's say you have a let's say you do something called a bare call spread where you have a a call a naked call essentially but instead of being naked you buy something above it in order to protect yourself in case it runs up on you right that's called a credit spread so what you'll then what you'll do then is let's say you take in $200 of a credit right and let's say today's Thursday and like today's a perfect example today today is Thursday let's say it's down to $10 are you going to risk a market moving event tomorrow just to receive 10 more dollars probably not right so you would roll in that case you would close out your position and you would roll it out into another month and that's what Traders do all the time one thing when you're trading options is you gota be very cognizant of expiration dates and when your stuff is coming off and what's in the money and what's out of the money in your portfolio this way you could constantly add things and roll things do stuff like you just mentioned have two questions let's say we put on a spread is there any moment where you would lift the premium that you sold for</x:v>
      </x:c>
      <x:c r="M50" s="13" t="str">
        <x:v>VERBATIM_SOURCE_CONTEXT</x:v>
      </x:c>
      <x:c r="N50" s="13" t="str">
        <x:v>B-09241</x:v>
      </x:c>
      <x:c r="O50" s="13" t="str">
        <x:v>Illustrative amounts; no universal percentage threshold taught.</x:v>
      </x:c>
      <x:c r="P50" s="13" t="str">
        <x:v>https://www.youtube.com/watch?v=rcS-7s7A4sQ</x:v>
      </x:c>
      <x:c r="Q50" s="13" t="str">
        <x:v>This run packet1</x:v>
      </x:c>
    </x:row>
    <x:row r="51" ht="96" hidden="0" customHeight="1">
      <x:c r="A51" s="13" t="str">
        <x:v>RUN-SEM-0019</x:v>
      </x:c>
      <x:c r="B51" s="13" t="str">
        <x:v>rcS-7s7A4sQ</x:v>
      </x:c>
      <x:c r="C51" s="13" t="str">
        <x:v>Options Trading Insight | Adjusting Your Trades When the Market Rolls</x:v>
      </x:c>
      <x:c r="D51" s="13" t="str">
        <x:v>20240709</x:v>
      </x:c>
      <x:c r="E51" s="13" t="str">
        <x:v>process_warning</x:v>
      </x:c>
      <x:c r="F51" s="13" t="str">
        <x:v>Track option expiration dates and whether positions are in or out of the money while managing and rolling a portfolio.</x:v>
      </x:c>
      <x:c r="G51" s="13" t="str">
        <x:v>UNKNOWN_OPTIONS_RESPONDENT</x:v>
      </x:c>
      <x:c r="H51" s="13" t="str">
        <x:v>WITHHELD_UNKNOWN_OR_OTHER_SPEAKER</x:v>
      </x:c>
      <x:c r="I51" s="13" t="str">
        <x:v>SEMANTICALLY_REVIEWED_THIS_RUN</x:v>
      </x:c>
      <x:c r="J51" s="13" t="str">
        <x:v>00:00:00.040</x:v>
      </x:c>
      <x:c r="K51" s="13" t="str">
        <x:v>00:01:17.109</x:v>
      </x:c>
      <x:c r="L51" s="13" t="str">
        <x:v>I got a question here would you be able to roll credit spread like selling a naked option yeah what you do is if you have a net credit let's say you have a let's say you do something called a bare call spread where you have a a call a naked call essentially but instead of being naked you buy something above it in order to protect yourself in case it runs up on you right that's called a credit spread so what you'll then what you'll do then is let's say you take in $200 of a credit right and let's say today's Thursday and like today's a perfect example today today is Thursday let's say it's down to $10 are you going to risk a market moving event tomorrow just to receive 10 more dollars probably not right so you would roll in that case you would close out your position and you would roll it out into another month and that's what Traders do all the time one thing when you're trading options is you gota be very cognizant of expiration dates and when your stuff is coming off and what's in the money and what's out of the money in your portfolio this way you could constantly add things and roll things do stuff like you just mentioned have two questions let's say we put on a spread is there any moment where you would lift the premium that you sold for</x:v>
      </x:c>
      <x:c r="M51" s="13" t="str">
        <x:v>VERBATIM_SOURCE_CONTEXT</x:v>
      </x:c>
      <x:c r="N51" s="13" t="str">
        <x:v>B-09241</x:v>
      </x:c>
      <x:c r="O51" s="13" t="str">
        <x:v>Options portfolio management.</x:v>
      </x:c>
      <x:c r="P51" s="13" t="str">
        <x:v>https://www.youtube.com/watch?v=rcS-7s7A4sQ</x:v>
      </x:c>
      <x:c r="Q51" s="13" t="str">
        <x:v>This run packet1</x:v>
      </x:c>
    </x:row>
    <x:row r="52" ht="108" hidden="0" customHeight="1">
      <x:c r="A52" s="13" t="str">
        <x:v>RUN-SEM-0020</x:v>
      </x:c>
      <x:c r="B52" s="13" t="str">
        <x:v>rcS-7s7A4sQ</x:v>
      </x:c>
      <x:c r="C52" s="13" t="str">
        <x:v>Options Trading Insight | Adjusting Your Trades When the Market Rolls</x:v>
      </x:c>
      <x:c r="D52" s="13" t="str">
        <x:v>20240709</x:v>
      </x:c>
      <x:c r="E52" s="13" t="str">
        <x:v>personal_rule_not_recommendation</x:v>
      </x:c>
      <x:c r="F52" s="13" t="str">
        <x:v>The speaker limits himself to one adjustment to avoid excessive tweaking and explicitly says students need not follow that personal rule.</x:v>
      </x:c>
      <x:c r="G52" s="13" t="str">
        <x:v>UNKNOWN_OPTIONS_RESPONDENT</x:v>
      </x:c>
      <x:c r="H52" s="13" t="str">
        <x:v>WITHHELD_UNKNOWN_OR_OTHER_SPEAKER</x:v>
      </x:c>
      <x:c r="I52" s="13" t="str">
        <x:v>SEMANTICALLY_REVIEWED_THIS_RUN</x:v>
      </x:c>
      <x:c r="J52" s="13" t="str">
        <x:v>00:01:04.000</x:v>
      </x:c>
      <x:c r="K52" s="13" t="str">
        <x:v>00:02:19.350</x:v>
      </x:c>
      <x:c r="L52" s="13" t="str">
        <x:v>you could constantly add things and roll things do stuff like you just mentioned have two questions let's say we put on a spread is there any moment where you would lift the premium that you sold for a bigger game you could do that if there's you know what's funny is every time I've ever tried to do that it rolled back over you know it's like remember the reason you put it on in the first place yeah it's like you mess with something too much I have a rule in my trading plan and I don't necessarily want you guys to follow this it's just something I do for my own mental health I'm allowed to make one adjustment oh that's allow myself to make one adjustment if I start tweaking stuff too much you could go nuts you know what I mean trying to go long go short trying to cover things the right time just becomes like a little bit instead of having a legitimate trading strategy what you then have is something called an octopus where you have all these different legs and all these things going on and you're not bullish or bearish you just have an octopus and that's not cool so one of the suggestions it's a good question one of one of the things you can do if you want to be more bullish let's say on let's say something exceeds your expectations for whatever reason it's breaking out to new highs you didn't expect it you expected the sideways game a little bit</x:v>
      </x:c>
      <x:c r="M52" s="13" t="str">
        <x:v>VERBATIM_SOURCE_CONTEXT</x:v>
      </x:c>
      <x:c r="N52" s="13" t="str">
        <x:v>B-09242</x:v>
      </x:c>
      <x:c r="O52" s="13" t="str">
        <x:v>Explicit negative scope: not a prescribed student rule.</x:v>
      </x:c>
      <x:c r="P52" s="13" t="str">
        <x:v>https://www.youtube.com/watch?v=rcS-7s7A4sQ</x:v>
      </x:c>
      <x:c r="Q52" s="13" t="str">
        <x:v>This run packet1</x:v>
      </x:c>
    </x:row>
    <x:row r="53" ht="132" hidden="0" customHeight="1">
      <x:c r="A53" s="13" t="str">
        <x:v>RUN-SEM-0021</x:v>
      </x:c>
      <x:c r="B53" s="13" t="str">
        <x:v>rcS-7s7A4sQ</x:v>
      </x:c>
      <x:c r="C53" s="13" t="str">
        <x:v>Options Trading Insight | Adjusting Your Trades When the Market Rolls</x:v>
      </x:c>
      <x:c r="D53" s="13" t="str">
        <x:v>20240709</x:v>
      </x:c>
      <x:c r="E53" s="13" t="str">
        <x:v>conditional_strategy_example</x:v>
      </x:c>
      <x:c r="F53" s="13" t="str">
        <x:v>If a stock exceeds a sideways expectation and the trader wants more bullish exposure, the speaker suggests adding another long call to a one-for-one vertical, calling the resulting structure a ratio backspread.</x:v>
      </x:c>
      <x:c r="G53" s="13" t="str">
        <x:v>UNKNOWN_OPTIONS_RESPONDENT</x:v>
      </x:c>
      <x:c r="H53" s="13" t="str">
        <x:v>WITHHELD_UNKNOWN_OR_OTHER_SPEAKER</x:v>
      </x:c>
      <x:c r="I53" s="13" t="str">
        <x:v>SEMANTICALLY_REVIEWED_THIS_RUN</x:v>
      </x:c>
      <x:c r="J53" s="13" t="str">
        <x:v>00:01:04.000</x:v>
      </x:c>
      <x:c r="K53" s="13" t="str">
        <x:v>00:02:46.640</x:v>
      </x:c>
      <x:c r="L53" s="13" t="str">
        <x:v>you could constantly add things and roll things do stuff like you just mentioned have two questions let's say we put on a spread is there any moment where you would lift the premium that you sold for a bigger game you could do that if there's you know what's funny is every time I've ever tried to do that it rolled back over you know it's like remember the reason you put it on in the first place yeah it's like you mess with something too much I have a rule in my trading plan and I don't necessarily want you guys to follow this it's just something I do for my own mental health I'm allowed to make one adjustment oh that's allow myself to make one adjustment if I start tweaking stuff too much you could go nuts you know what I mean trying to go long go short trying to cover things the right time just becomes like a little bit instead of having a legitimate trading strategy what you then have is something called an octopus where you have all these different legs and all these things going on and you're not bullish or bearish you just have an octopus and that's not cool so one of the suggestions it's a good question one of one of the things you can do if you want to be more bullish let's say on let's say something exceeds your expectations for whatever reason it's breaking out to new highs you didn't expect it you expected the sideways game a little bit it didn't happen what you can do is just buy another call so now you have let's say a one for one vertical right one call and once one one contract let's say sold against it and then just buy another call and then you'll have basically it's called a ratio backspread basically so now you have one call that could do it at once it has unlimited upside but yet you still have that a little bit of protection on the downside with that one call that you sold</x:v>
      </x:c>
      <x:c r="M53" s="13" t="str">
        <x:v>VERBATIM_SOURCE_CONTEXT</x:v>
      </x:c>
      <x:c r="N53" s="13" t="str">
        <x:v>B-09242 | B-09243</x:v>
      </x:c>
      <x:c r="O53" s="13" t="str">
        <x:v>Capture as speaker's strategy example, not verified risk characterization.</x:v>
      </x:c>
      <x:c r="P53" s="13" t="str">
        <x:v>https://www.youtube.com/watch?v=rcS-7s7A4sQ</x:v>
      </x:c>
      <x:c r="Q53" s="13" t="str">
        <x:v>This run packet1</x:v>
      </x:c>
    </x:row>
    <x:row r="54" ht="108" hidden="0" customHeight="1">
      <x:c r="A54" s="13" t="str">
        <x:v>RUN-SEM-0022</x:v>
      </x:c>
      <x:c r="B54" s="13" t="str">
        <x:v>snNOrwHKz9M</x:v>
      </x:c>
      <x:c r="C54" s="13" t="str">
        <x:v>Options Trading Insight | Stock Replacement Strategy and Whether to Buy ATM or Deep ITM</x:v>
      </x:c>
      <x:c r="D54" s="13" t="str">
        <x:v>20240709</x:v>
      </x:c>
      <x:c r="E54" s="13" t="str">
        <x:v>conditional_preference</x:v>
      </x:c>
      <x:c r="F54" s="13" t="str">
        <x:v>For a slow upward drift without expected news/volatility, the speaker describes an in-the-money stock-replacement option with a longer horizon, optionally selling calls for income; at-the-money options are preferred when acceleration is expected.</x:v>
      </x:c>
      <x:c r="G54" s="13" t="str">
        <x:v>UNKNOWN_OPTIONS_RESPONDENT</x:v>
      </x:c>
      <x:c r="H54" s="13" t="str">
        <x:v>WITHHELD_UNKNOWN_OR_OTHER_SPEAKER</x:v>
      </x:c>
      <x:c r="I54" s="13" t="str">
        <x:v>SEMANTICALLY_REVIEWED_THIS_RUN</x:v>
      </x:c>
      <x:c r="J54" s="13" t="str">
        <x:v>00:00:00.199</x:v>
      </x:c>
      <x:c r="K54" s="13" t="str">
        <x:v>00:01:22.920</x:v>
      </x:c>
      <x:c r="L54" s="13" t="str">
        <x:v>here from Lou so if I'm looking at a straight coiler put trade do you tend to buy at the money or deep in the money more of a stock replacement strategy Lou that is an excellent question and that really depends on volatility am I doing something more of a so let's talk about stock replacement strategy if you if you believe a stock is going up but it's going to go up in a sleepy slow kind of way let's say a slow drift higher the Market's just drifting higher we're in an uptrend you're looking at a stock there's no there's not going to be any kind of volatility there's not going to be any earnings or any kind of news you could do something that's in the money and you're just using that stock replacement strategy basically and you could still by the way Lou you could still sell calls against those options as well and bring in some income while you wait for that appreciation to happen and what I would do for that is I would obviously go out more than just one month that would go out maybe three months or six months or something like that he's essentially you're buying the stock that's like what you're trying to replace the stock with so for an at the money strategy that you want to take advantage of volatility that's the main difference and at the money strategy you're going to want to take advantage of not just the uptrend of the stock but expecting some sort of recent acceleration and that would be the main difference between the two okay</x:v>
      </x:c>
      <x:c r="M54" s="13" t="str">
        <x:v>VERBATIM_SOURCE_CONTEXT</x:v>
      </x:c>
      <x:c r="N54" s="13" t="str">
        <x:v>B-09368 | B-09369</x:v>
      </x:c>
      <x:c r="O54" s="13" t="str">
        <x:v>Three/six months are examples; not mandatory maturities.</x:v>
      </x:c>
      <x:c r="P54" s="13" t="str">
        <x:v>https://www.youtube.com/watch?v=snNOrwHKz9M</x:v>
      </x:c>
      <x:c r="Q54" s="13" t="str">
        <x:v>This run packet1</x:v>
      </x:c>
    </x:row>
    <x:row r="55" ht="120" hidden="0" customHeight="1">
      <x:c r="A55" s="13" t="str">
        <x:v>RUN-SEM-0023</x:v>
      </x:c>
      <x:c r="B55" s="13" t="str">
        <x:v>uAVlgn0gcjw</x:v>
      </x:c>
      <x:c r="C55" s="13" t="str">
        <x:v>7: Tape Reading: Stocks in Play</x:v>
      </x:c>
      <x:c r="D55" s="13" t="str">
        <x:v>20221101</x:v>
      </x:c>
      <x:c r="E55" s="13" t="str">
        <x:v>definition_process</x:v>
      </x:c>
      <x:c r="F55" s="13" t="str">
        <x:v>The speaker describes tape reading as building an argument for a trading idea by assessing how much money is moving in the same direction.</x:v>
      </x:c>
      <x:c r="G55" s="13" t="str">
        <x:v>UNKNOWN_SOLO_SPEAKER</x:v>
      </x:c>
      <x:c r="H55" s="13" t="str">
        <x:v>WITHHELD_UNKNOWN_OR_OTHER_SPEAKER</x:v>
      </x:c>
      <x:c r="I55" s="13" t="str">
        <x:v>SEMANTICALLY_REVIEWED_THIS_RUN</x:v>
      </x:c>
      <x:c r="J55" s="13" t="str">
        <x:v>00:00:00.420</x:v>
      </x:c>
      <x:c r="K55" s="13" t="str">
        <x:v>00:01:41.960</x:v>
      </x:c>
      <x:c r="L55" s="13" t="str">
        <x:v>okay tape reading is something that we call building and argument okay so building an argument in trading simply means this we talk about the stock market power pyramid we talk about order flow the stock market power pyramid is simple and I want you know you really think about this for a second are you just trading what your stock is doing today or is there a lot more money remember we just talked about order flow is there a lot more money doing the same thing so here's where this is really where it gets exciting because remember we talked although back in the beginning about probabilities probabilities means the likelihood of something happens it's probably going to happen but how do you know the probability that's what tape reading is in the way that we do it we build an argument for the idea so here's the worst idea in the world uh the stock went up yesterday I want to buy it that's the weakest argument in the world you're actually going to you might as well just kiss your money goodbye and throw it away every day that's a weak argument it's an argument but it's a weak argument a better argument is the Market's going up every day this is this is the stock market power premiere on the bottom of that is the foundation the overall big market and a lot of people call it the big three which is the Dow Jones Industrial Average the NASDAQ composite or the QQQ if you want to use that or and the S P 500 that's the foundation under everything if that's obvious you have a lot of money doing the same thing so if we go back over to the screen and we take a look at we'll use the S P 500 as an example we'll use the Spy ETF</x:v>
      </x:c>
      <x:c r="M55" s="13" t="str">
        <x:v>VERBATIM_SOURCE_CONTEXT</x:v>
      </x:c>
      <x:c r="N55" s="13" t="str">
        <x:v>B-09567 | B-09568</x:v>
      </x:c>
      <x:c r="O55" s="13" t="str">
        <x:v>Caption error preserved; normalized meaning supported by repeated wording.</x:v>
      </x:c>
      <x:c r="P55" s="13" t="str">
        <x:v>https://www.youtube.com/watch?v=uAVlgn0gcjw</x:v>
      </x:c>
      <x:c r="Q55" s="13" t="str">
        <x:v>This run packet1</x:v>
      </x:c>
    </x:row>
    <x:row r="56" ht="120" hidden="0" customHeight="1">
      <x:c r="A56" s="13" t="str">
        <x:v>RUN-SEM-0024</x:v>
      </x:c>
      <x:c r="B56" s="13" t="str">
        <x:v>uAVlgn0gcjw</x:v>
      </x:c>
      <x:c r="C56" s="13" t="str">
        <x:v>7: Tape Reading: Stocks in Play</x:v>
      </x:c>
      <x:c r="D56" s="13" t="str">
        <x:v>20221101</x:v>
      </x:c>
      <x:c r="E56" s="13" t="str">
        <x:v>argument_quality_framework</x:v>
      </x:c>
      <x:c r="F56" s="13" t="str">
        <x:v>Yesterday's stock rise alone is characterized as a weak argument; an obvious broader-market direction forms the foundation of the stock-market power pyramid.</x:v>
      </x:c>
      <x:c r="G56" s="13" t="str">
        <x:v>UNKNOWN_SOLO_SPEAKER</x:v>
      </x:c>
      <x:c r="H56" s="13" t="str">
        <x:v>WITHHELD_UNKNOWN_OR_OTHER_SPEAKER</x:v>
      </x:c>
      <x:c r="I56" s="13" t="str">
        <x:v>SEMANTICALLY_REVIEWED_THIS_RUN</x:v>
      </x:c>
      <x:c r="J56" s="13" t="str">
        <x:v>00:00:00.420</x:v>
      </x:c>
      <x:c r="K56" s="13" t="str">
        <x:v>00:01:41.960</x:v>
      </x:c>
      <x:c r="L56" s="13" t="str">
        <x:v>okay tape reading is something that we call building and argument okay so building an argument in trading simply means this we talk about the stock market power pyramid we talk about order flow the stock market power pyramid is simple and I want you know you really think about this for a second are you just trading what your stock is doing today or is there a lot more money remember we just talked about order flow is there a lot more money doing the same thing so here's where this is really where it gets exciting because remember we talked although back in the beginning about probabilities probabilities means the likelihood of something happens it's probably going to happen but how do you know the probability that's what tape reading is in the way that we do it we build an argument for the idea so here's the worst idea in the world uh the stock went up yesterday I want to buy it that's the weakest argument in the world you're actually going to you might as well just kiss your money goodbye and throw it away every day that's a weak argument it's an argument but it's a weak argument a better argument is the Market's going up every day this is this is the stock market power premiere on the bottom of that is the foundation the overall big market and a lot of people call it the big three which is the Dow Jones Industrial Average the NASDAQ composite or the QQQ if you want to use that or and the S P 500 that's the foundation under everything if that's obvious you have a lot of money doing the same thing so if we go back over to the screen and we take a look at we'll use the S P 500 as an example we'll use the Spy ETF</x:v>
      </x:c>
      <x:c r="M56" s="13" t="str">
        <x:v>VERBATIM_SOURCE_CONTEXT</x:v>
      </x:c>
      <x:c r="N56" s="13" t="str">
        <x:v>B-09567 | B-09568</x:v>
      </x:c>
      <x:c r="O56" s="13" t="str">
        <x:v>Broad indices listed as Dow, Nasdaq/QQQ and S&amp;P 500; no causal verification inferred.</x:v>
      </x:c>
      <x:c r="P56" s="13" t="str">
        <x:v>https://www.youtube.com/watch?v=uAVlgn0gcjw</x:v>
      </x:c>
      <x:c r="Q56" s="13" t="str">
        <x:v>This run packet1</x:v>
      </x:c>
    </x:row>
    <x:row r="57" ht="204" hidden="0" customHeight="1">
      <x:c r="A57" s="13" t="str">
        <x:v>RUN-SEM-0025</x:v>
      </x:c>
      <x:c r="B57" s="13" t="str">
        <x:v>Tfz9PAx5cTY</x:v>
      </x:c>
      <x:c r="C57" s="13" t="str">
        <x:v>Stock Trading Insight: Is the Stock Market Really Broken?</x:v>
      </x:c>
      <x:c r="D57" s="13" t="str">
        <x:v>20230304</x:v>
      </x:c>
      <x:c r="E57" s="13" t="str">
        <x:v>introductory_framing</x:v>
      </x:c>
      <x:c r="F57" s="13" t="str">
        <x:v>Pete frames perceived market difficulty partly in terms of experience and expectations formed during the prior rising market.</x:v>
      </x:c>
      <x:c r="G57" s="13" t="str">
        <x:v>PETE_SELF_IDENTIFIED</x:v>
      </x:c>
      <x:c r="H57" s="13" t="str">
        <x:v>ELIGIBLE_VIDEO_SELF_IDENTIFICATION</x:v>
      </x:c>
      <x:c r="I57" s="13" t="str">
        <x:v>SEMANTICALLY_REVIEWED_THIS_RUN</x:v>
      </x:c>
      <x:c r="J57" s="13" t="str">
        <x:v>00:00:00.000</x:v>
      </x:c>
      <x:c r="K57" s="13" t="str">
        <x:v>00:02:18.589</x:v>
      </x:c>
      <x:c r="L57" s="13" t="str">
        <x:v>hey everybody Welcome to stock trading Pro boy do we have a lot to cover today my name is Pete Renzulli I can't wait to get into it is the stock market broken that's the big question we're going to answer right now and it's basically coming from a lot of the coaching sessions that we've had recently especially from new members that have come into our boot camp a lot of comments on social media both here on Twitter as well as YouTube where I spend most of my time even in our Facebook group here's the thing A lot of people are getting more gray hairs right now getting confused is the stock market and all of the economic data that we've been getting recently clashing with all of the lowered earnings expectations that are being beaten causing you to be overwhelmed confused feel like you couldn't hit water if you fell out of a boat right now picking stocks at exactly the wrong time is it broken the answer is no and what do you do about it that's the big thing we're going to talk about today I just want to give you a brief uh overview of what we're about to cover we're going to do a deep dive into today's edition of The Daily Ticker and I really want to give you um kind of a heads up on what we're going to cover we're going to discuss some of the earnings that are coming out this week uh but I really want to break down um how to handle the current market conditions how to get your confidence back which is a big thing then we're also going to see some Forex and options updates in here as well we have a really good video today you're going to want to watch the entire video because we're going to cover from Soup To Nuts how you might be looking at the market wrong how you might be making it a little bit more complicated than it needs to be how to dial it back to get your confidence back stop the bleeding and get on the side of the market where there's a little bit more easier trades dare I say and I'm also going to outline what that means today what easier means now easier is relative I need to make sure that everybody understands somebody might have just started trading two months ago somebody might have started trading in 2021 when the market was going straight up maybe you had a wrong view of how easy the stock market was and kind of got hit a little bit when the market reversed we're going to talk to everybody today whether you're brand new whether you have a lot of experience today's stock trading Pro live episode is going to be action-packed and we're going to break down the market sectors industry groups I'm going to give you my stock pick for this week this is probably the top stock that I've been waiting for I've been waiting for three weeks for this stock to finally give me</x:v>
      </x:c>
      <x:c r="M57" s="13" t="str">
        <x:v>VERBATIM_SOURCE_CONTEXT</x:v>
      </x:c>
      <x:c r="N57" s="13" t="str">
        <x:v>B-05166 | B-05167</x:v>
      </x:c>
      <x:c r="O57" s="13" t="str">
        <x:v>Introduction only; promised later instruction is absent from this available transcript.</x:v>
      </x:c>
      <x:c r="P57" s="13" t="str">
        <x:v>https://www.youtube.com/watch?v=Tfz9PAx5cTY</x:v>
      </x:c>
      <x:c r="Q57" s="13" t="str">
        <x:v>This run packet1</x:v>
      </x:c>
    </x:row>
    <x:row r="58" ht="60" hidden="0" customHeight="1">
      <x:c r="A58" s="13" t="str">
        <x:v>RUN-SEM-0026</x:v>
      </x:c>
      <x:c r="B58" s="13" t="str">
        <x:v>Tfz9PAx5cTY</x:v>
      </x:c>
      <x:c r="C58" s="13" t="str">
        <x:v>Stock Trading Insight: Is the Stock Market Really Broken?</x:v>
      </x:c>
      <x:c r="D58" s="13" t="str">
        <x:v>20230304</x:v>
      </x:c>
      <x:c r="E58" s="13" t="str">
        <x:v>warning_recommendation</x:v>
      </x:c>
      <x:c r="F58" s="13" t="str">
        <x:v>Pete flags upcoming earnings as requiring care and recommends maintaining an AI-stock list in this dated market introduction.</x:v>
      </x:c>
      <x:c r="G58" s="13" t="str">
        <x:v>PETE_SELF_IDENTIFIED</x:v>
      </x:c>
      <x:c r="H58" s="13" t="str">
        <x:v>ELIGIBLE_VIDEO_SELF_IDENTIFICATION</x:v>
      </x:c>
      <x:c r="I58" s="13" t="str">
        <x:v>SEMANTICALLY_REVIEWED_THIS_RUN</x:v>
      </x:c>
      <x:c r="J58" s="13" t="str">
        <x:v>00:02:05.640</x:v>
      </x:c>
      <x:c r="K58" s="13" t="str">
        <x:v>00:02:56.420</x:v>
      </x:c>
      <x:c r="L58" s="13" t="str">
        <x:v>is going to be action-packed and we're going to break down the market sectors industry groups I'm going to give you my stock pick for this week this is probably the top stock that I've been waiting for I've been waiting for three weeks for this stock to finally give me a signal and today we're going to have it and there's also another AI stock that has earnings this week so be careful that that's a very big part of it that is just consolidating consolidating consolidating and obviously AI is the big news last week Nvidia popped was up almost thirty dollars after earnings in videos now also entered the AI conversation as well so if you don't have a big list of AI stocks I strongly recommend you do that too so boy I'm I'm jazzed up after a long weekend and um stick around be back in just one second okay</x:v>
      </x:c>
      <x:c r="M58" s="13" t="str">
        <x:v>VERBATIM_SOURCE_CONTEXT</x:v>
      </x:c>
      <x:c r="N58" s="13" t="str">
        <x:v>B-05168</x:v>
      </x:c>
      <x:c r="O58" s="13" t="str">
        <x:v>Contemporaneous watch-list recommendation, not an evergreen allocation rule.</x:v>
      </x:c>
      <x:c r="P58" s="13" t="str">
        <x:v>https://www.youtube.com/watch?v=Tfz9PAx5cTY</x:v>
      </x:c>
      <x:c r="Q58" s="13" t="str">
        <x:v>This run packet1</x:v>
      </x:c>
    </x:row>
    <x:row r="59" ht="240" hidden="0" customHeight="1">
      <x:c r="A59" s="13" t="str">
        <x:v>RUN-SEM-0005-DUP</x:v>
      </x:c>
      <x:c r="B59" s="13" t="str">
        <x:v>TcEXI4W8F30</x:v>
      </x:c>
      <x:c r="C59" s="13" t="str">
        <x:v>Achieve Your Trading Goals with Mentoring</x:v>
      </x:c>
      <x:c r="D59" s="13" t="str">
        <x:v>20150421</x:v>
      </x:c>
      <x:c r="E59" s="13" t="str">
        <x:v>risk_management_heuristic</x:v>
      </x:c>
      <x:c r="F59" s="13" t="str">
        <x:v>Recognizing difficult conditions and refusing to push exposure is presented as successful risk management even on a losing day.</x:v>
      </x:c>
      <x:c r="G59" s="13" t="str">
        <x:v>UNKNOWN_SEMINAR_SPEAKER</x:v>
      </x:c>
      <x:c r="H59" s="13" t="str">
        <x:v>WITHHELD_UNKNOWN_OR_OTHER_SPEAKER</x:v>
      </x:c>
      <x:c r="I59" s="13" t="str">
        <x:v>SEMANTICALLY_REVIEWED_DUPLICATE_SOURCE_THIS_RUN</x:v>
      </x:c>
      <x:c r="J59" s="13" t="str">
        <x:v>00:00:06.240</x:v>
      </x:c>
      <x:c r="K59" s="13" t="str">
        <x:v>00:03:02.480</x:v>
      </x:c>
      <x:c r="L59" s="13" t="str">
        <x:v>does everybody understand this is what mentoring is this is not about the perfect well Pete do you use Simple moving averages or exponential that's not the point the point is can you come up with good trade ideas and make money when you got them can you not lose money when it's a tougher condition how many people have ended a day where you say to yourself that was the best $300 I've ever lost because I recognized the conditions were tough and I didn't push it how many people can do that right now excellent that's where you want to get to now the next step for you which we will walk you through when you work with us is making money when you have a good day because I'm going to tell you right now a lot of people in this room still don't understand probabilities I'm going to cover this in two seconds when you're a new Trader it bothers you when every single individual trade doesn't work out and and the individual losses and the individual uh thing you learned didn't follow through when you get to the next point which I want you to get through when you work with me it should bother you more when you don't make 3,000 because you only made a th000 you have to have some caterings in there while your business is making all those egg sandwiches you have to pay the bills with the trades where the expectation is a little bit lower and when it lines up you bring in the big money but you have to understand the conditions to do that that's in game planning how many people here take more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 have to get behind the car behind the wheel and drive the car and drive it in different conditions and then be able to ask somebody Pete I see the tix is doing this I see the vix is doing that I see those three stocks are doing that what do you think about this stock I think the Stock's definitely along but it's not along right now because you have to risk a quarter to make a quarter you're going to be a break even Trader let's wait on that trade until it gets up to yesterday's high if it flags at yesterday's high and it does it on light volume and the vix comes down the ticks start to push up and the market is well bid then we start to push it all of these things go into every trading decision this is what you need to learn if you are not achieving what you want to achieve right now</x:v>
      </x:c>
      <x:c r="M59" s="13" t="str">
        <x:v>VERBATIM_SOURCE_CONTEXT</x:v>
      </x:c>
      <x:c r="N59" s="13" t="str">
        <x:v>B-05163 | B-05164 | B-05165</x:v>
      </x:c>
      <x:c r="O59" s="13" t="str">
        <x:v>Promotional seminar context; $300 is illustrative. Near-duplicate upload of the same seminar; not independent corroboration.</x:v>
      </x:c>
      <x:c r="P59" s="13" t="str">
        <x:v>https://www.youtube.com/watch?v=TcEXI4W8F30</x:v>
      </x:c>
      <x:c r="Q59" s="13" t="str">
        <x:v>This run packet1</x:v>
      </x:c>
    </x:row>
    <x:row r="60" ht="240" hidden="0" customHeight="1">
      <x:c r="A60" s="13" t="str">
        <x:v>RUN-SEM-0006-DUP</x:v>
      </x:c>
      <x:c r="B60" s="13" t="str">
        <x:v>TcEXI4W8F30</x:v>
      </x:c>
      <x:c r="C60" s="13" t="str">
        <x:v>Achieve Your Trading Goals with Mentoring</x:v>
      </x:c>
      <x:c r="D60" s="13" t="str">
        <x:v>20150421</x:v>
      </x:c>
      <x:c r="E60" s="13" t="str">
        <x:v>conditional_management_framework</x:v>
      </x:c>
      <x:c r="F60" s="13" t="str">
        <x:v>The speaker distinguishes lower-expectation bill-paying trades from occasions that line up and merit pursuing larger profits.</x:v>
      </x:c>
      <x:c r="G60" s="13" t="str">
        <x:v>UNKNOWN_SEMINAR_SPEAKER</x:v>
      </x:c>
      <x:c r="H60" s="13" t="str">
        <x:v>WITHHELD_UNKNOWN_OR_OTHER_SPEAKER</x:v>
      </x:c>
      <x:c r="I60" s="13" t="str">
        <x:v>SEMANTICALLY_REVIEWED_DUPLICATE_SOURCE_THIS_RUN</x:v>
      </x:c>
      <x:c r="J60" s="13" t="str">
        <x:v>00:00:06.240</x:v>
      </x:c>
      <x:c r="K60" s="13" t="str">
        <x:v>00:03:02.480</x:v>
      </x:c>
      <x:c r="L60" s="13" t="str">
        <x:v>does everybody understand this is what mentoring is this is not about the perfect well Pete do you use Simple moving averages or exponential that's not the point the point is can you come up with good trade ideas and make money when you got them can you not lose money when it's a tougher condition how many people have ended a day where you say to yourself that was the best $300 I've ever lost because I recognized the conditions were tough and I didn't push it how many people can do that right now excellent that's where you want to get to now the next step for you which we will walk you through when you work with us is making money when you have a good day because I'm going to tell you right now a lot of people in this room still don't understand probabilities I'm going to cover this in two seconds when you're a new Trader it bothers you when every single individual trade doesn't work out and and the individual losses and the individual uh thing you learned didn't follow through when you get to the next point which I want you to get through when you work with me it should bother you more when you don't make 3,000 because you only made a th000 you have to have some caterings in there while your business is making all those egg sandwiches you have to pay the bills with the trades where the expectation is a little bit lower and when it lines up you bring in the big money but you have to understand the conditions to do that that's in game planning how many people here take more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 have to get behind the car behind the wheel and drive the car and drive it in different conditions and then be able to ask somebody Pete I see the tix is doing this I see the vix is doing that I see those three stocks are doing that what do you think about this stock I think the Stock's definitely along but it's not along right now because you have to risk a quarter to make a quarter you're going to be a break even Trader let's wait on that trade until it gets up to yesterday's high if it flags at yesterday's high and it does it on light volume and the vix comes down the ticks start to push up and the market is well bid then we start to push it all of these things go into every trading decision this is what you need to learn if you are not achieving what you want to achieve right now</x:v>
      </x:c>
      <x:c r="M60" s="13" t="str">
        <x:v>VERBATIM_SOURCE_CONTEXT</x:v>
      </x:c>
      <x:c r="N60" s="13" t="str">
        <x:v>B-05163 | B-05164 | B-05165</x:v>
      </x:c>
      <x:c r="O60" s="13" t="str">
        <x:v>Conditions must be recognized; dollar figures are examples, not targets. Near-duplicate upload of the same seminar; not independent corroboration.</x:v>
      </x:c>
      <x:c r="P60" s="13" t="str">
        <x:v>https://www.youtube.com/watch?v=TcEXI4W8F30</x:v>
      </x:c>
      <x:c r="Q60" s="13" t="str">
        <x:v>This run packet1</x:v>
      </x:c>
    </x:row>
    <x:row r="61" ht="240" hidden="0" customHeight="1">
      <x:c r="A61" s="13" t="str">
        <x:v>RUN-SEM-0007-DUP</x:v>
      </x:c>
      <x:c r="B61" s="13" t="str">
        <x:v>TcEXI4W8F30</x:v>
      </x:c>
      <x:c r="C61" s="13" t="str">
        <x:v>Achieve Your Trading Goals with Mentoring</x:v>
      </x:c>
      <x:c r="D61" s="13" t="str">
        <x:v>20150421</x:v>
      </x:c>
      <x:c r="E61" s="13" t="str">
        <x:v>conditional_recommendation</x:v>
      </x:c>
      <x:c r="F61" s="13" t="str">
        <x:v>If game planning takes more than an hour, the speaker recommends reducing the ideas considered, with an exception for extraordinarily well-funded traders.</x:v>
      </x:c>
      <x:c r="G61" s="13" t="str">
        <x:v>UNKNOWN_SEMINAR_SPEAKER</x:v>
      </x:c>
      <x:c r="H61" s="13" t="str">
        <x:v>WITHHELD_UNKNOWN_OR_OTHER_SPEAKER</x:v>
      </x:c>
      <x:c r="I61" s="13" t="str">
        <x:v>SEMANTICALLY_REVIEWED_DUPLICATE_SOURCE_THIS_RUN</x:v>
      </x:c>
      <x:c r="J61" s="13" t="str">
        <x:v>00:00:06.240</x:v>
      </x:c>
      <x:c r="K61" s="13" t="str">
        <x:v>00:03:02.480</x:v>
      </x:c>
      <x:c r="L61" s="13" t="str">
        <x:v>does everybody understand this is what mentoring is this is not about the perfect well Pete do you use Simple moving averages or exponential that's not the point the point is can you come up with good trade ideas and make money when you got them can you not lose money when it's a tougher condition how many people have ended a day where you say to yourself that was the best $300 I've ever lost because I recognized the conditions were tough and I didn't push it how many people can do that right now excellent that's where you want to get to now the next step for you which we will walk you through when you work with us is making money when you have a good day because I'm going to tell you right now a lot of people in this room still don't understand probabilities I'm going to cover this in two seconds when you're a new Trader it bothers you when every single individual trade doesn't work out and and the individual losses and the individual uh thing you learned didn't follow through when you get to the next point which I want you to get through when you work with me it should bother you more when you don't make 3,000 because you only made a th000 you have to have some caterings in there while your business is making all those egg sandwiches you have to pay the bills with the trades where the expectation is a little bit lower and when it lines up you bring in the big money but you have to understand the conditions to do that that's in game planning how many people here take more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 have to get behind the car behind the wheel and drive the car and drive it in different conditions and then be able to ask somebody Pete I see the tix is doing this I see the vix is doing that I see those three stocks are doing that what do you think about this stock I think the Stock's definitely along but it's not along right now because you have to risk a quarter to make a quarter you're going to be a break even Trader let's wait on that trade until it gets up to yesterday's high if it flags at yesterday's high and it does it on light volume and the vix comes down the ticks start to push up and the market is well bid then we start to push it all of these things go into every trading decision this is what you need to learn if you are not achieving what you want to achieve right now</x:v>
      </x:c>
      <x:c r="M61" s="13" t="str">
        <x:v>VERBATIM_SOURCE_CONTEXT</x:v>
      </x:c>
      <x:c r="N61" s="13" t="str">
        <x:v>B-05163 | B-05164 | B-05165</x:v>
      </x:c>
      <x:c r="O61" s="13" t="str">
        <x:v>One-hour limit is the speaker's recommendation with a stated exception. Near-duplicate upload of the same seminar; not independent corroboration.</x:v>
      </x:c>
      <x:c r="P61" s="13" t="str">
        <x:v>https://www.youtube.com/watch?v=TcEXI4W8F30</x:v>
      </x:c>
      <x:c r="Q61" s="13" t="str">
        <x:v>This run packet1</x:v>
      </x:c>
    </x:row>
    <x:row r="62" ht="240" hidden="0" customHeight="1">
      <x:c r="A62" s="13" t="str">
        <x:v>RUN-SEM-0008-DUP</x:v>
      </x:c>
      <x:c r="B62" s="13" t="str">
        <x:v>TcEXI4W8F30</x:v>
      </x:c>
      <x:c r="C62" s="13" t="str">
        <x:v>Achieve Your Trading Goals with Mentoring</x:v>
      </x:c>
      <x:c r="D62" s="13" t="str">
        <x:v>20150421</x:v>
      </x:c>
      <x:c r="E62" s="13" t="str">
        <x:v>conditional_process</x:v>
      </x:c>
      <x:c r="F62" s="13" t="str">
        <x:v>Define what must appear before acting; if it does not appear, do nothing, and allocate attention/capital across a limited number of ideas.</x:v>
      </x:c>
      <x:c r="G62" s="13" t="str">
        <x:v>UNKNOWN_SEMINAR_SPEAKER</x:v>
      </x:c>
      <x:c r="H62" s="13" t="str">
        <x:v>WITHHELD_UNKNOWN_OR_OTHER_SPEAKER</x:v>
      </x:c>
      <x:c r="I62" s="13" t="str">
        <x:v>SEMANTICALLY_REVIEWED_DUPLICATE_SOURCE_THIS_RUN</x:v>
      </x:c>
      <x:c r="J62" s="13" t="str">
        <x:v>00:00:06.240</x:v>
      </x:c>
      <x:c r="K62" s="13" t="str">
        <x:v>00:03:02.480</x:v>
      </x:c>
      <x:c r="L62" s="13" t="str">
        <x:v>does everybody understand this is what mentoring is this is not about the perfect well Pete do you use Simple moving averages or exponential that's not the point the point is can you come up with good trade ideas and make money when you got them can you not lose money when it's a tougher condition how many people have ended a day where you say to yourself that was the best $300 I've ever lost because I recognized the conditions were tough and I didn't push it how many people can do that right now excellent that's where you want to get to now the next step for you which we will walk you through when you work with us is making money when you have a good day because I'm going to tell you right now a lot of people in this room still don't understand probabilities I'm going to cover this in two seconds when you're a new Trader it bothers you when every single individual trade doesn't work out and and the individual losses and the individual uh thing you learned didn't follow through when you get to the next point which I want you to get through when you work with me it should bother you more when you don't make 3,000 because you only made a th000 you have to have some caterings in there while your business is making all those egg sandwiches you have to pay the bills with the trades where the expectation is a little bit lower and when it lines up you bring in the big money but you have to understand the conditions to do that that's in game planning how many people here take more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 have to get behind the car behind the wheel and drive the car and drive it in different conditions and then be able to ask somebody Pete I see the tix is doing this I see the vix is doing that I see those three stocks are doing that what do you think about this stock I think the Stock's definitely along but it's not along right now because you have to risk a quarter to make a quarter you're going to be a break even Trader let's wait on that trade until it gets up to yesterday's high if it flags at yesterday's high and it does it on light volume and the vix comes down the ticks start to push up and the market is well bid then we start to push it all of these things go into every trading decision this is what you need to learn if you are not achieving what you want to achieve right now</x:v>
      </x:c>
      <x:c r="M62" s="13" t="str">
        <x:v>VERBATIM_SOURCE_CONTEXT</x:v>
      </x:c>
      <x:c r="N62" s="13" t="str">
        <x:v>B-05163 | B-05164 | B-05165</x:v>
      </x:c>
      <x:c r="O62" s="13" t="str">
        <x:v>Game-planning process. Near-duplicate upload of the same seminar; not independent corroboration.</x:v>
      </x:c>
      <x:c r="P62" s="13" t="str">
        <x:v>https://www.youtube.com/watch?v=TcEXI4W8F30</x:v>
      </x:c>
      <x:c r="Q62" s="13" t="str">
        <x:v>This run packet1</x:v>
      </x:c>
    </x:row>
    <x:row r="63" ht="240" hidden="0" customHeight="1">
      <x:c r="A63" s="13" t="str">
        <x:v>RUN-SEM-0009-DUP</x:v>
      </x:c>
      <x:c r="B63" s="13" t="str">
        <x:v>TcEXI4W8F30</x:v>
      </x:c>
      <x:c r="C63" s="13" t="str">
        <x:v>Achieve Your Trading Goals with Mentoring</x:v>
      </x:c>
      <x:c r="D63" s="13" t="str">
        <x:v>20150421</x:v>
      </x:c>
      <x:c r="E63" s="13" t="str">
        <x:v>resource_matching_principle</x:v>
      </x:c>
      <x:c r="F63" s="13" t="str">
        <x:v>Match stock selection, volatility and intended holding time to skills, experience, capital and available screen time.</x:v>
      </x:c>
      <x:c r="G63" s="13" t="str">
        <x:v>UNKNOWN_SEMINAR_SPEAKER</x:v>
      </x:c>
      <x:c r="H63" s="13" t="str">
        <x:v>WITHHELD_UNKNOWN_OR_OTHER_SPEAKER</x:v>
      </x:c>
      <x:c r="I63" s="13" t="str">
        <x:v>SEMANTICALLY_REVIEWED_DUPLICATE_SOURCE_THIS_RUN</x:v>
      </x:c>
      <x:c r="J63" s="13" t="str">
        <x:v>00:00:06.240</x:v>
      </x:c>
      <x:c r="K63" s="13" t="str">
        <x:v>00:03:02.480</x:v>
      </x:c>
      <x:c r="L63" s="13" t="str">
        <x:v>does everybody understand this is what mentoring is this is not about the perfect well Pete do you use Simple moving averages or exponential that's not the point the point is can you come up with good trade ideas and make money when you got them can you not lose money when it's a tougher condition how many people have ended a day where you say to yourself that was the best $300 I've ever lost because I recognized the conditions were tough and I didn't push it how many people can do that right now excellent that's where you want to get to now the next step for you which we will walk you through when you work with us is making money when you have a good day because I'm going to tell you right now a lot of people in this room still don't understand probabilities I'm going to cover this in two seconds when you're a new Trader it bothers you when every single individual trade doesn't work out and and the individual losses and the individual uh thing you learned didn't follow through when you get to the next point which I want you to get through when you work with me it should bother you more when you don't make 3,000 because you only made a th000 you have to have some caterings in there while your business is making all those egg sandwiches you have to pay the bills with the trades where the expectation is a little bit lower and when it lines up you bring in the big money but you have to understand the conditions to do that that's in game planning how many people here take more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 have to get behind the car behind the wheel and drive the car and drive it in different conditions and then be able to ask somebody Pete I see the tix is doing this I see the vix is doing that I see those three stocks are doing that what do you think about this stock I think the Stock's definitely along but it's not along right now because you have to risk a quarter to make a quarter you're going to be a break even Trader let's wait on that trade until it gets up to yesterday's high if it flags at yesterday's high and it does it on light volume and the vix comes down the ticks start to push up and the market is well bid then we start to push it all of these things go into every trading decision this is what you need to learn if you are not achieving what you want to achieve right now</x:v>
      </x:c>
      <x:c r="M63" s="13" t="str">
        <x:v>VERBATIM_SOURCE_CONTEXT</x:v>
      </x:c>
      <x:c r="N63" s="13" t="str">
        <x:v>B-05163 | B-05164 | B-05165</x:v>
      </x:c>
      <x:c r="O63" s="13" t="str">
        <x:v>General teaching in a promotional seminar. Near-duplicate upload of the same seminar; not independent corroboration.</x:v>
      </x:c>
      <x:c r="P63" s="13" t="str">
        <x:v>https://www.youtube.com/watch?v=TcEXI4W8F30</x:v>
      </x:c>
      <x:c r="Q63" s="13" t="str">
        <x:v>This run packet1</x:v>
      </x:c>
    </x:row>
    <x:row r="64" ht="240" hidden="0" customHeight="1">
      <x:c r="A64" s="13" t="str">
        <x:v>RUN-SEM-0010-DUP</x:v>
      </x:c>
      <x:c r="B64" s="13" t="str">
        <x:v>TcEXI4W8F30</x:v>
      </x:c>
      <x:c r="C64" s="13" t="str">
        <x:v>Achieve Your Trading Goals with Mentoring</x:v>
      </x:c>
      <x:c r="D64" s="13" t="str">
        <x:v>20150421</x:v>
      </x:c>
      <x:c r="E64" s="13" t="str">
        <x:v>conditional_example</x:v>
      </x:c>
      <x:c r="F64" s="13" t="str">
        <x:v>A stock can be a long idea without being a worthwhile long entry now; the example waits for a light-volume flag near yesterday's high and supportive VIX, ticks and market conditions.</x:v>
      </x:c>
      <x:c r="G64" s="13" t="str">
        <x:v>UNKNOWN_SEMINAR_SPEAKER</x:v>
      </x:c>
      <x:c r="H64" s="13" t="str">
        <x:v>WITHHELD_UNKNOWN_OR_OTHER_SPEAKER</x:v>
      </x:c>
      <x:c r="I64" s="13" t="str">
        <x:v>SEMANTICALLY_REVIEWED_DUPLICATE_SOURCE_THIS_RUN</x:v>
      </x:c>
      <x:c r="J64" s="13" t="str">
        <x:v>00:00:06.240</x:v>
      </x:c>
      <x:c r="K64" s="13" t="str">
        <x:v>00:03:02.480</x:v>
      </x:c>
      <x:c r="L64" s="13" t="str">
        <x:v>does everybody understand this is what mentoring is this is not about the perfect well Pete do you use Simple moving averages or exponential that's not the point the point is can you come up with good trade ideas and make money when you got them can you not lose money when it's a tougher condition how many people have ended a day where you say to yourself that was the best $300 I've ever lost because I recognized the conditions were tough and I didn't push it how many people can do that right now excellent that's where you want to get to now the next step for you which we will walk you through when you work with us is making money when you have a good day because I'm going to tell you right now a lot of people in this room still don't understand probabilities I'm going to cover this in two seconds when you're a new Trader it bothers you when every single individual trade doesn't work out and and the individual losses and the individual uh thing you learned didn't follow through when you get to the next point which I want you to get through when you work with me it should bother you more when you don't make 3,000 because you only made a th000 you have to have some caterings in there while your business is making all those egg sandwiches you have to pay the bills with the trades where the expectation is a little bit lower and when it lines up you bring in the big money but you have to understand the conditions to do that that's in game planning how many people here take more more than an hour to game plan too long and I'm going to tell you why unless you are extraordinarily well funded and it takes you more than an hour you're looking at too many ideas cut your ideas down so you are game planning this is what I'm looking for and if I don't see this I'm not doing anything if it does then you allocate it to a certain amount of ideas you must run your business to match your resources and what are your resources your skills your experience and your capital and the amount of time you can sit in front of a machine all of those things have to go into which stocks you're trading how much volatility and how much time you plan on holding them but I'm going to tell you right now out of everybody in this room who I'm sure at this point knows how to look at a chart you don't learn how to trade just by being the best technical analyst on the planet you have to get behind the car behind the wheel and drive the car and drive it in different conditions and then be able to ask somebody Pete I see the tix is doing this I see the vix is doing that I see those three stocks are doing that what do you think about this stock I think the Stock's definitely along but it's not along right now because you have to risk a quarter to make a quarter you're going to be a break even Trader let's wait on that trade until it gets up to yesterday's high if it flags at yesterday's high and it does it on light volume and the vix comes down the ticks start to push up and the market is well bid then we start to push it all of these things go into every trading decision this is what you need to learn if you are not achieving what you want to achieve right now</x:v>
      </x:c>
      <x:c r="M64" s="13" t="str">
        <x:v>VERBATIM_SOURCE_CONTEXT</x:v>
      </x:c>
      <x:c r="N64" s="13" t="str">
        <x:v>B-05163 | B-05164 | B-05165</x:v>
      </x:c>
      <x:c r="O64" s="13" t="str">
        <x:v>Conditional chart example; caption 'along' means apparent 'a long', retained verbatim in evidence. Near-duplicate upload of the same seminar; not independent corroboration.</x:v>
      </x:c>
      <x:c r="P64" s="13" t="str">
        <x:v>https://www.youtube.com/watch?v=TcEXI4W8F30</x:v>
      </x:c>
      <x:c r="Q64" s="13" t="str">
        <x:v>This run packet1</x:v>
      </x:c>
    </x:row>
  </x:sheetData>
  <x:pageMargins left="0.7" right="0.7" top="0.75" bottom="0.75" header="0.3" footer="0.3"/>
  <x:tableParts count="1">
    <x:tablePart xmlns:r="http://schemas.openxmlformats.org/officeDocument/2006/relationships" r:id="R94c1a6efc6194ff8"/>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0" hidden="0" customWidth="1"/>
    <x:col min="2" max="2" width="35" hidden="0" customWidth="1"/>
    <x:col min="3" max="3" width="110" hidden="0" customWidth="1"/>
  </x:cols>
  <x:sheetData>
    <x:row r="1" ht="36" customHeight="1">
      <x:c r="A1" s="12" t="str">
        <x:v>Check</x:v>
      </x:c>
      <x:c r="B1" s="12" t="str">
        <x:v>Observed state</x:v>
      </x:c>
      <x:c r="C1" s="12" t="str">
        <x:v>Scope / interpretation</x:v>
      </x:c>
    </x:row>
    <x:row r="2" ht="15" hidden="0" customHeight="1">
      <x:c r="A2" s="13" t="str">
        <x:v>Unique source IDs</x:v>
      </x:c>
      <x:c r="B2" s="13" t="n">
        <x:v>695</x:v>
      </x:c>
      <x:c r="C2" s="13" t="str">
        <x:v>Expected 695; checked independently in source packaging</x:v>
      </x:c>
    </x:row>
    <x:row r="3" ht="15" hidden="0" customHeight="1">
      <x:c r="A3" s="13" t="str">
        <x:v>Source segments</x:v>
      </x:c>
      <x:c r="B3" s="13" t="n">
        <x:v>320407</x:v>
      </x:c>
      <x:c r="C3" s="13" t="str">
        <x:v>Expected 320,407; all ordered source records preserved</x:v>
      </x:c>
    </x:row>
    <x:row r="4" ht="15" hidden="0" customHeight="1">
      <x:c r="A4" s="13" t="str">
        <x:v>HTML transcript documents</x:v>
      </x:c>
      <x:c r="B4" s="13" t="n">
        <x:v>695</x:v>
      </x:c>
      <x:c r="C4" s="13" t="str">
        <x:v>One complete timestamped document per video</x:v>
      </x:c>
    </x:row>
    <x:row r="5" ht="15" hidden="0" customHeight="1">
      <x:c r="A5" s="13" t="str">
        <x:v>JSON source documents</x:v>
      </x:c>
      <x:c r="B5" s="13" t="n">
        <x:v>695</x:v>
      </x:c>
      <x:c r="C5" s="13" t="str">
        <x:v>One ordered source record array per video; SHA-256 in index and manifest</x:v>
      </x:c>
    </x:row>
    <x:row r="6" ht="15" hidden="0" customHeight="1">
      <x:c r="A6" s="13" t="str">
        <x:v>Whole-transcript reviews</x:v>
      </x:c>
      <x:c r="B6" s="13" t="n">
        <x:v>13</x:v>
      </x:c>
      <x:c r="C6" s="13" t="str">
        <x:v>13 available transcripts read end to end in this run</x:v>
      </x:c>
    </x:row>
    <x:row r="7" ht="15" hidden="0" customHeight="1">
      <x:c r="A7" s="13" t="str">
        <x:v>Pending whole-video reviews</x:v>
      </x:c>
      <x:c r="B7" s="13" t="n">
        <x:v>682</x:v>
      </x:c>
      <x:c r="C7" s="13" t="str">
        <x:v>682; no keyword classifier marks semantic work complete</x:v>
      </x:c>
    </x:row>
    <x:row r="8" ht="15" hidden="0" customHeight="1">
      <x:c r="A8" s="13" t="str">
        <x:v>Earlier evidence occurrences</x:v>
      </x:c>
      <x:c r="B8" s="13" t="n">
        <x:v>63</x:v>
      </x:c>
      <x:c r="C8" s="13" t="str">
        <x:v>Preserved as prior passage evidence; not whole-video completion</x:v>
      </x:c>
    </x:row>
    <x:row r="9" ht="15" hidden="0" customHeight="1">
      <x:c r="A9" s="13" t="str">
        <x:v>Provisional duplicate pairs</x:v>
      </x:c>
      <x:c r="B9" s="13" t="n">
        <x:v>2</x:v>
      </x:c>
      <x:c r="C9" s="13" t="str">
        <x:v>Keep both upload IDs; do not double-count corroboration</x:v>
      </x:c>
    </x:row>
    <x:row r="10" ht="15" hidden="0" customHeight="1">
      <x:c r="A10" s="13" t="str">
        <x:v>Speaker attribution</x:v>
      </x:c>
      <x:c r="B10" s="13" t="str">
        <x:v>INHERITED / PARTIAL</x:v>
      </x:c>
      <x:c r="C10" s="13" t="str">
        <x:v>Prior conservative audit flags retained; not final passage attribution</x:v>
      </x:c>
    </x:row>
    <x:row r="11" ht="15" hidden="0" customHeight="1">
      <x:c r="A11" s="13" t="str">
        <x:v>Caption / visual completeness</x:v>
      </x:c>
      <x:c r="B11" s="13" t="str">
        <x:v>SOURCE-DEPENDENT</x:v>
      </x:c>
      <x:c r="C11" s="13" t="str">
        <x:v>Duration flags retained; visuals pending in reviewed sources</x:v>
      </x:c>
    </x:row>
    <x:row r="12" ht="15" hidden="0" customHeight="1">
      <x:c r="A12" s="13" t="str">
        <x:v>Database restructure</x:v>
      </x:c>
      <x:c r="B12" s="13" t="str">
        <x:v>COMPLETE</x:v>
      </x:c>
      <x:c r="C12" s="13" t="str">
        <x:v>Workbook and attached full-source collection constructed</x:v>
      </x:c>
    </x:row>
    <x:row r="13" ht="15" hidden="0" customHeight="1">
      <x:c r="A13" s="13" t="str">
        <x:v>Course readiness</x:v>
      </x:c>
      <x:c r="B13" s="13" t="str">
        <x:v>NOT READY</x:v>
      </x:c>
      <x:c r="C13" s="13" t="str">
        <x:v>Subject consolidation and whole-video review remain partial</x:v>
      </x:c>
    </x:row>
  </x:sheetData>
  <x:pageMargins left="0.7" right="0.7" top="0.75" bottom="0.75" header="0.3" footer="0.3"/>
  <x:tableParts count="1">
    <x:tablePart xmlns:r="http://schemas.openxmlformats.org/officeDocument/2006/relationships" r:id="R7d73ea78353544d2"/>
  </x:tableParts>
</x:worksheet>
</file>